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5"/>
    <sheet state="visible" name="D.E." sheetId="2" r:id="rId6"/>
    <sheet state="visible" name="Aaleshbhai" sheetId="3" r:id="rId7"/>
    <sheet state="visible" name="Naveenbhai" sheetId="4" r:id="rId8"/>
    <sheet state="visible" name="Diwan Enterprise" sheetId="5" r:id="rId9"/>
    <sheet state="visible" name="Mehta Metals" sheetId="6" r:id="rId10"/>
    <sheet state="visible" name="Shree Brass Works" sheetId="7" r:id="rId11"/>
    <sheet state="visible" name="Patel Industries" sheetId="8" r:id="rId12"/>
    <sheet state="visible" name="Royal Turnings" sheetId="9" r:id="rId13"/>
    <sheet state="visible" name="Kiran Traders" sheetId="10" r:id="rId14"/>
    <sheet state="hidden" name="Sync_Log" sheetId="11" r:id="rId15"/>
    <sheet state="hidden" name="Sync_State" sheetId="12" r:id="rId16"/>
  </sheets>
  <definedNames/>
  <calcPr/>
</workbook>
</file>

<file path=xl/sharedStrings.xml><?xml version="1.0" encoding="utf-8"?>
<sst xmlns="http://schemas.openxmlformats.org/spreadsheetml/2006/main" count="384" uniqueCount="120">
  <si>
    <t>PARTY SUMMARY</t>
  </si>
  <si>
    <t>Customer</t>
  </si>
  <si>
    <t>Opening Bal</t>
  </si>
  <si>
    <t>Bills</t>
  </si>
  <si>
    <t>Total Sales</t>
  </si>
  <si>
    <t>Total Paid</t>
  </si>
  <si>
    <t>Outstanding</t>
  </si>
  <si>
    <t>Last Bill</t>
  </si>
  <si>
    <t>Last Payment</t>
  </si>
  <si>
    <t>Days Since</t>
  </si>
  <si>
    <t>Status</t>
  </si>
  <si>
    <t>767</t>
  </si>
  <si>
    <t>Overdue</t>
  </si>
  <si>
    <t>Aaleshbhai</t>
  </si>
  <si>
    <t>D.E.</t>
  </si>
  <si>
    <t>Pending</t>
  </si>
  <si>
    <t>Diwan Enterprise</t>
  </si>
  <si>
    <t>Kiran Traders</t>
  </si>
  <si>
    <t>Mehta Metals</t>
  </si>
  <si>
    <t>Naveenbhai</t>
  </si>
  <si>
    <t>Patel Industries</t>
  </si>
  <si>
    <t>Royal Turnings</t>
  </si>
  <si>
    <t>Shree Brass Works</t>
  </si>
  <si>
    <t>TOTAL</t>
  </si>
  <si>
    <t>D.E. — Party Ledger</t>
  </si>
  <si>
    <t>◀ Master</t>
  </si>
  <si>
    <t>SALES</t>
  </si>
  <si>
    <t>PAYMENTS</t>
  </si>
  <si>
    <t>Date</t>
  </si>
  <si>
    <t>Bill No</t>
  </si>
  <si>
    <t>Market Rate</t>
  </si>
  <si>
    <t>Item</t>
  </si>
  <si>
    <t>Qty (kg)</t>
  </si>
  <si>
    <t>Rate</t>
  </si>
  <si>
    <t>Amount</t>
  </si>
  <si>
    <t>Transport</t>
  </si>
  <si>
    <t>GST%</t>
  </si>
  <si>
    <t>GST Amt</t>
  </si>
  <si>
    <t>Final Amount</t>
  </si>
  <si>
    <t>Mode</t>
  </si>
  <si>
    <t>Note</t>
  </si>
  <si>
    <t>51-001</t>
  </si>
  <si>
    <t>Spindle (8.5 Gm)</t>
  </si>
  <si>
    <t>51-010</t>
  </si>
  <si>
    <t>Bank</t>
  </si>
  <si>
    <t>Part payment against 51-001</t>
  </si>
  <si>
    <t>51-016</t>
  </si>
  <si>
    <t>Against old balance</t>
  </si>
  <si>
    <t>51-017</t>
  </si>
  <si>
    <t>Cash</t>
  </si>
  <si>
    <t>Cash collection</t>
  </si>
  <si>
    <t>51-021</t>
  </si>
  <si>
    <t>April payment</t>
  </si>
  <si>
    <t>51-023</t>
  </si>
  <si>
    <t>Taper Plug (10.50)</t>
  </si>
  <si>
    <t>Total Sale</t>
  </si>
  <si>
    <t>Total Payment</t>
  </si>
  <si>
    <t>Total Outstanding Balance</t>
  </si>
  <si>
    <t>Aaleshbhai — Party Ledger</t>
  </si>
  <si>
    <t>51-002</t>
  </si>
  <si>
    <t>51-011</t>
  </si>
  <si>
    <t>Advance adjusted</t>
  </si>
  <si>
    <t>51-014</t>
  </si>
  <si>
    <t>Part payment</t>
  </si>
  <si>
    <t>51-024</t>
  </si>
  <si>
    <t>[MODE:CASH]</t>
  </si>
  <si>
    <t>Naveenbhai — Party Ledger</t>
  </si>
  <si>
    <t>51-003</t>
  </si>
  <si>
    <t>51-013</t>
  </si>
  <si>
    <t>RTGS</t>
  </si>
  <si>
    <t>51-015</t>
  </si>
  <si>
    <t>Diwan Enterprise — Party Ledger</t>
  </si>
  <si>
    <t>51-004</t>
  </si>
  <si>
    <t>51-012</t>
  </si>
  <si>
    <t>UTR 901122</t>
  </si>
  <si>
    <t>51-020</t>
  </si>
  <si>
    <t>NEFT</t>
  </si>
  <si>
    <t>51-025</t>
  </si>
  <si>
    <t>Hand to hand</t>
  </si>
  <si>
    <t>UTR 992701</t>
  </si>
  <si>
    <t>UTR 992744</t>
  </si>
  <si>
    <t>Office collection</t>
  </si>
  <si>
    <t>Large adjustment</t>
  </si>
  <si>
    <t>Mehta Metals — Party Ledger</t>
  </si>
  <si>
    <t>51-005</t>
  </si>
  <si>
    <t>51-018</t>
  </si>
  <si>
    <t>UPI settlement</t>
  </si>
  <si>
    <t>51-026</t>
  </si>
  <si>
    <t>Brass Scrap Return</t>
  </si>
  <si>
    <t>Shree Brass Works — Party Ledger</t>
  </si>
  <si>
    <t>51-006</t>
  </si>
  <si>
    <t>51-019</t>
  </si>
  <si>
    <t>Cash received</t>
  </si>
  <si>
    <t>IMPS</t>
  </si>
  <si>
    <t>Patel Industries — Party Ledger</t>
  </si>
  <si>
    <t>51-007</t>
  </si>
  <si>
    <t>51-022</t>
  </si>
  <si>
    <t>Part settlement</t>
  </si>
  <si>
    <t>Royal Turnings — Party Ledger</t>
  </si>
  <si>
    <t>51-008</t>
  </si>
  <si>
    <t>Counter payment</t>
  </si>
  <si>
    <t>Kiran Traders — Party Ledger</t>
  </si>
  <si>
    <t>51-009</t>
  </si>
  <si>
    <t>First payment</t>
  </si>
  <si>
    <t>Small transfer</t>
  </si>
  <si>
    <t>Run Time</t>
  </si>
  <si>
    <t>New Bills</t>
  </si>
  <si>
    <t>New Payments</t>
  </si>
  <si>
    <t>Message</t>
  </si>
  <si>
    <t>SUCCESS</t>
  </si>
  <si>
    <t>FULL REBUILD</t>
  </si>
  <si>
    <t>Key</t>
  </si>
  <si>
    <t>Value</t>
  </si>
  <si>
    <t>Updated_At</t>
  </si>
  <si>
    <t>last_bill_cursor</t>
  </si>
  <si>
    <t>last_payment_cursor</t>
  </si>
  <si>
    <t>last_sync_at</t>
  </si>
  <si>
    <t>bill_cursor</t>
  </si>
  <si>
    <t>pay_cursor</t>
  </si>
  <si>
    <t>last_sync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</si>
</sst>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₹#,##0"/>
    <numFmt numFmtId="165" formatCode="dd-MMM-yyyy"/>
    <numFmt numFmtId="166" formatCode="mm/dd/yyyy"/>
    <numFmt numFmtId="167" formatCode="₹#,##0.00"/>
    <numFmt numFmtId="168" formatCode="yyyy-mm-dd h:mm:ss"/>
    <numFmt numFmtId="169" formatCode="yyyy-mm-dd hh:mm:ss"/>
  </numFmts>
  <fonts count="24">
    <font>
      <sz val="10.0"/>
      <color rgb="FF000000"/>
      <name val="Arial"/>
      <scheme val="minor"/>
    </font>
    <font>
      <b/>
      <sz val="15.0"/>
      <color rgb="FFFFFFFF"/>
      <name val="Arial"/>
      <scheme val="minor"/>
    </font>
    <font>
      <sz val="9.0"/>
      <color rgb="FF888888"/>
      <name val="Arial"/>
      <scheme val="minor"/>
    </font>
    <font>
      <b/>
      <sz val="10.0"/>
      <color rgb="FFFFFFFF"/>
      <name val="Arial"/>
      <scheme val="minor"/>
    </font>
    <font>
      <b/>
      <u/>
      <color rgb="FF0000FF"/>
    </font>
    <font>
      <color theme="1"/>
      <name val="Arial"/>
      <scheme val="minor"/>
    </font>
    <font>
      <b/>
      <color rgb="FFB71C1C"/>
      <name val="Arial"/>
      <scheme val="minor"/>
    </font>
    <font>
      <b/>
      <u/>
      <color rgb="FF0000FF"/>
    </font>
    <font>
      <color rgb="FFF57F17"/>
      <name val="Arial"/>
      <scheme val="minor"/>
    </font>
    <font>
      <b/>
      <color rgb="FFF57F17"/>
      <name val="Arial"/>
      <scheme val="minor"/>
    </font>
    <font>
      <color rgb="FF2E7D32"/>
      <name val="Arial"/>
      <scheme val="minor"/>
    </font>
    <font>
      <b/>
      <color rgb="FFFFFFFF"/>
      <name val="Arial"/>
      <scheme val="minor"/>
    </font>
    <font>
      <b/>
      <color rgb="FFE65100"/>
      <name val="Arial"/>
      <scheme val="minor"/>
    </font>
    <font>
      <color theme="1"/>
      <name val="Arial"/>
    </font>
    <font>
      <b/>
      <sz val="16.0"/>
      <color rgb="FFFFFFFF"/>
      <name val="Arial"/>
    </font>
    <font/>
    <font>
      <u/>
      <sz val="9.0"/>
      <color rgb="FF9FC3E6"/>
      <name val="Arial"/>
    </font>
    <font>
      <b/>
      <sz val="10.0"/>
      <color rgb="FF1F3552"/>
      <name val="Arial"/>
    </font>
    <font>
      <b/>
      <sz val="10.0"/>
      <color rgb="FF1F4533"/>
      <name val="Arial"/>
    </font>
    <font>
      <b/>
      <color rgb="FFFFFFFF"/>
      <name val="Arial"/>
    </font>
    <font>
      <b/>
      <color theme="1"/>
      <name val="Arial"/>
      <scheme val="minor"/>
    </font>
    <font>
      <b/>
      <sz val="14.0"/>
      <color rgb="FFFFFFFF"/>
      <name val="Arial"/>
      <scheme val="minor"/>
    </font>
    <font>
      <b/>
      <sz val="18.0"/>
      <color theme="1"/>
      <name val="Arial"/>
      <scheme val="minor"/>
    </font>
    <font>
      <sz val="9.0"/>
      <color rgb="FF3B3B3B"/>
      <name val="Consolas"/>
    </font>
  </fonts>
  <fills count="13">
    <fill>
      <patternFill patternType="none"/>
    </fill>
    <fill>
      <patternFill patternType="lightGray"/>
    </fill>
    <fill>
      <patternFill patternType="solid">
        <fgColor rgb="FF1F3A5F"/>
        <bgColor rgb="FF1F3A5F"/>
      </patternFill>
    </fill>
    <fill>
      <patternFill patternType="solid">
        <fgColor rgb="FFF7F9FB"/>
        <bgColor rgb="FFF7F9FB"/>
      </patternFill>
    </fill>
    <fill>
      <patternFill patternType="solid">
        <fgColor rgb="FFFFFFFF"/>
        <bgColor rgb="FFFFFFFF"/>
      </patternFill>
    </fill>
    <fill>
      <patternFill patternType="solid">
        <fgColor rgb="FFFDECEA"/>
        <bgColor rgb="FFFDECEA"/>
      </patternFill>
    </fill>
    <fill>
      <patternFill patternType="solid">
        <fgColor rgb="FFF4F6F9"/>
        <bgColor rgb="FFF4F6F9"/>
      </patternFill>
    </fill>
    <fill>
      <patternFill patternType="solid">
        <fgColor rgb="FFFFF8E1"/>
        <bgColor rgb="FFFFF8E1"/>
      </patternFill>
    </fill>
    <fill>
      <patternFill patternType="solid">
        <fgColor rgb="FFE8F5E9"/>
        <bgColor rgb="FFE8F5E9"/>
      </patternFill>
    </fill>
    <fill>
      <patternFill patternType="solid">
        <fgColor rgb="FF1E3557"/>
        <bgColor rgb="FF1E3557"/>
      </patternFill>
    </fill>
    <fill>
      <patternFill patternType="solid">
        <fgColor rgb="FFEAF1F8"/>
        <bgColor rgb="FFEAF1F8"/>
      </patternFill>
    </fill>
    <fill>
      <patternFill patternType="solid">
        <fgColor rgb="FFEAF4EE"/>
        <bgColor rgb="FFEAF4EE"/>
      </patternFill>
    </fill>
    <fill>
      <patternFill patternType="solid">
        <fgColor rgb="FF1E4A33"/>
        <bgColor rgb="FF1E4A33"/>
      </patternFill>
    </fill>
  </fills>
  <borders count="26">
    <border/>
    <border>
      <left style="thin">
        <color rgb="FF2A4A7A"/>
      </left>
      <right style="thin">
        <color rgb="FF2A4A7A"/>
      </right>
      <top style="thin">
        <color rgb="FF2A4A7A"/>
      </top>
      <bottom style="thin">
        <color rgb="FF2A4A7A"/>
      </bottom>
    </border>
    <border>
      <left style="medium">
        <color rgb="FFC5D0DE"/>
      </left>
    </border>
    <border>
      <right style="medium">
        <color rgb="FFC5D0DE"/>
      </right>
    </border>
    <border>
      <left style="medium">
        <color rgb="FFC5D0DE"/>
      </left>
      <bottom style="medium">
        <color rgb="FFC5D0DE"/>
      </bottom>
    </border>
    <border>
      <bottom style="medium">
        <color rgb="FFC5D0DE"/>
      </bottom>
    </border>
    <border>
      <right style="medium">
        <color rgb="FFC5D0DE"/>
      </right>
      <bottom style="medium">
        <color rgb="FFC5D0DE"/>
      </bottom>
    </border>
    <border>
      <left style="thin">
        <color rgb="FF2A4A7A"/>
      </left>
      <bottom style="thin">
        <color rgb="FF2A4A7A"/>
      </bottom>
    </border>
    <border>
      <bottom style="thin">
        <color rgb="FF2A4A7A"/>
      </bottom>
    </border>
    <border>
      <right style="thin">
        <color rgb="FF2A4A7A"/>
      </right>
      <bottom style="thin">
        <color rgb="FF2A4A7A"/>
      </bottom>
    </border>
    <border>
      <left style="thin">
        <color rgb="FF2A4A7A"/>
      </left>
      <top style="thin">
        <color rgb="FF2A4A7A"/>
      </top>
      <bottom style="thin">
        <color rgb="FF2A4A7A"/>
      </bottom>
    </border>
    <border>
      <top style="thin">
        <color rgb="FF2A4A7A"/>
      </top>
      <bottom style="thin">
        <color rgb="FF2A4A7A"/>
      </bottom>
    </border>
    <border>
      <right style="thin">
        <color rgb="FF2A4A7A"/>
      </right>
      <top style="thin">
        <color rgb="FF2A4A7A"/>
      </top>
      <bottom style="thin">
        <color rgb="FF2A4A7A"/>
      </bottom>
    </border>
    <border>
      <left style="thin">
        <color rgb="FF2A4A7A"/>
      </left>
      <right style="thin">
        <color rgb="FF2A4A7A"/>
      </right>
      <top style="thin">
        <color rgb="FF2A4A7A"/>
      </top>
    </border>
    <border>
      <left style="thin">
        <color rgb="FF2A4A7A"/>
      </left>
      <top style="thin">
        <color rgb="FF2A4A7A"/>
      </top>
    </border>
    <border>
      <right style="thin">
        <color rgb="FF1E4A33"/>
      </right>
      <top style="thin">
        <color rgb="FF1E4A33"/>
      </top>
    </border>
    <border>
      <left style="thin">
        <color rgb="FF1E4A33"/>
      </left>
      <right style="thin">
        <color rgb="FF1E4A33"/>
      </right>
      <top style="thin">
        <color rgb="FF1E4A33"/>
      </top>
    </border>
    <border>
      <left style="thin">
        <color rgb="FFE0E0E0"/>
      </left>
      <top style="thin">
        <color rgb="FFE0E0E0"/>
      </top>
      <bottom style="medium">
        <color rgb="FF1E3557"/>
      </bottom>
    </border>
    <border>
      <top style="thin">
        <color rgb="FFE0E0E0"/>
      </top>
      <bottom style="medium">
        <color rgb="FF1E3557"/>
      </bottom>
    </border>
    <border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bottom style="medium">
        <color rgb="FF1E3557"/>
      </bottom>
    </border>
    <border>
      <bottom style="medium">
        <color rgb="FF1E3557"/>
      </bottom>
    </border>
    <border>
      <left style="thin">
        <color rgb="FFE0E0E0"/>
      </left>
      <right style="thin">
        <color rgb="FFE0E0E0"/>
      </right>
      <bottom style="thin">
        <color rgb="FFE0E0E0"/>
      </bottom>
    </border>
    <border>
      <left style="thin">
        <color rgb="FFE0E0E0"/>
      </left>
      <bottom style="thin">
        <color rgb="FFE0E0E0"/>
      </bottom>
    </border>
    <border>
      <left style="thin">
        <color rgb="FFE0E0E0"/>
      </left>
      <top style="thin">
        <color rgb="FFE0E0E0"/>
      </top>
      <bottom style="thin">
        <color rgb="FFE0E0E0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right" vertical="center"/>
    </xf>
    <xf borderId="1" fillId="2" fontId="3" numFmtId="0" xfId="0" applyAlignment="1" applyBorder="1" applyFont="1">
      <alignment horizontal="center" readingOrder="0" vertical="center"/>
    </xf>
    <xf borderId="1" fillId="2" fontId="3" numFmtId="164" xfId="0" applyAlignment="1" applyBorder="1" applyFont="1" applyNumberFormat="1">
      <alignment horizontal="center" readingOrder="0" vertical="center"/>
    </xf>
    <xf borderId="2" fillId="4" fontId="4" numFmtId="0" xfId="0" applyAlignment="1" applyBorder="1" applyFill="1" applyFont="1">
      <alignment horizontal="left" vertical="center"/>
    </xf>
    <xf borderId="0" fillId="4" fontId="5" numFmtId="3" xfId="0" applyAlignment="1" applyFont="1" applyNumberFormat="1">
      <alignment horizontal="right" readingOrder="0" vertical="center"/>
    </xf>
    <xf borderId="0" fillId="4" fontId="6" numFmtId="3" xfId="0" applyAlignment="1" applyFont="1" applyNumberFormat="1">
      <alignment horizontal="right" readingOrder="0" vertical="center"/>
    </xf>
    <xf borderId="0" fillId="4" fontId="5" numFmtId="165" xfId="0" applyAlignment="1" applyFont="1" applyNumberFormat="1">
      <alignment horizontal="center" vertical="center"/>
    </xf>
    <xf borderId="0" fillId="5" fontId="6" numFmtId="1" xfId="0" applyAlignment="1" applyFill="1" applyFont="1" applyNumberFormat="1">
      <alignment horizontal="center" readingOrder="0" vertical="center"/>
    </xf>
    <xf borderId="3" fillId="5" fontId="6" numFmtId="0" xfId="0" applyAlignment="1" applyBorder="1" applyFont="1">
      <alignment horizontal="center" readingOrder="0" vertical="center"/>
    </xf>
    <xf borderId="2" fillId="6" fontId="7" numFmtId="0" xfId="0" applyAlignment="1" applyBorder="1" applyFill="1" applyFont="1">
      <alignment horizontal="left" vertical="center"/>
    </xf>
    <xf borderId="0" fillId="6" fontId="5" numFmtId="3" xfId="0" applyAlignment="1" applyFont="1" applyNumberFormat="1">
      <alignment horizontal="right" readingOrder="0" vertical="center"/>
    </xf>
    <xf borderId="0" fillId="6" fontId="6" numFmtId="3" xfId="0" applyAlignment="1" applyFont="1" applyNumberFormat="1">
      <alignment horizontal="right" readingOrder="0" vertical="center"/>
    </xf>
    <xf borderId="0" fillId="6" fontId="5" numFmtId="165" xfId="0" applyAlignment="1" applyFont="1" applyNumberFormat="1">
      <alignment horizontal="center" readingOrder="0" vertical="center"/>
    </xf>
    <xf borderId="0" fillId="4" fontId="5" numFmtId="165" xfId="0" applyAlignment="1" applyFont="1" applyNumberFormat="1">
      <alignment horizontal="center" readingOrder="0" vertical="center"/>
    </xf>
    <xf borderId="0" fillId="7" fontId="8" numFmtId="1" xfId="0" applyAlignment="1" applyFill="1" applyFont="1" applyNumberFormat="1">
      <alignment horizontal="center" readingOrder="0" vertical="center"/>
    </xf>
    <xf borderId="3" fillId="7" fontId="9" numFmtId="0" xfId="0" applyAlignment="1" applyBorder="1" applyFont="1">
      <alignment horizontal="center" readingOrder="0" vertical="center"/>
    </xf>
    <xf borderId="0" fillId="8" fontId="10" numFmtId="1" xfId="0" applyAlignment="1" applyFill="1" applyFont="1" applyNumberFormat="1">
      <alignment horizontal="center" readingOrder="0" vertical="center"/>
    </xf>
    <xf borderId="4" fillId="0" fontId="5" numFmtId="3" xfId="0" applyBorder="1" applyFont="1" applyNumberFormat="1"/>
    <xf borderId="5" fillId="0" fontId="5" numFmtId="3" xfId="0" applyBorder="1" applyFont="1" applyNumberFormat="1"/>
    <xf borderId="6" fillId="0" fontId="5" numFmtId="3" xfId="0" applyBorder="1" applyFont="1" applyNumberFormat="1"/>
    <xf borderId="7" fillId="2" fontId="11" numFmtId="3" xfId="0" applyAlignment="1" applyBorder="1" applyFont="1" applyNumberFormat="1">
      <alignment horizontal="left" readingOrder="0"/>
    </xf>
    <xf borderId="8" fillId="2" fontId="11" numFmtId="3" xfId="0" applyAlignment="1" applyBorder="1" applyFont="1" applyNumberFormat="1">
      <alignment horizontal="right" readingOrder="0"/>
    </xf>
    <xf borderId="9" fillId="2" fontId="11" numFmtId="3" xfId="0" applyAlignment="1" applyBorder="1" applyFont="1" applyNumberFormat="1">
      <alignment horizontal="right"/>
    </xf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6" numFmtId="164" xfId="0" applyAlignment="1" applyFont="1" applyNumberFormat="1">
      <alignment readingOrder="0"/>
    </xf>
    <xf borderId="0" fillId="0" fontId="5" numFmtId="0" xfId="0" applyAlignment="1" applyFont="1">
      <alignment horizontal="center" readingOrder="0"/>
    </xf>
    <xf borderId="0" fillId="0" fontId="12" numFmtId="0" xfId="0" applyAlignment="1" applyFont="1">
      <alignment horizontal="center" readingOrder="0"/>
    </xf>
    <xf borderId="0" fillId="0" fontId="5" numFmtId="166" xfId="0" applyAlignment="1" applyFont="1" applyNumberFormat="1">
      <alignment horizontal="center" readingOrder="0"/>
    </xf>
    <xf borderId="0" fillId="0" fontId="6" numFmtId="0" xfId="0" applyAlignment="1" applyFont="1">
      <alignment horizontal="center" readingOrder="0"/>
    </xf>
    <xf borderId="0" fillId="0" fontId="5" numFmtId="164" xfId="0" applyAlignment="1" applyFont="1" applyNumberFormat="1">
      <alignment horizontal="right" readingOrder="0"/>
    </xf>
    <xf borderId="0" fillId="0" fontId="13" numFmtId="0" xfId="0" applyFont="1"/>
    <xf borderId="0" fillId="4" fontId="13" numFmtId="0" xfId="0" applyFont="1"/>
    <xf borderId="10" fillId="9" fontId="14" numFmtId="0" xfId="0" applyAlignment="1" applyBorder="1" applyFill="1" applyFont="1">
      <alignment horizontal="center" readingOrder="0" vertical="center"/>
    </xf>
    <xf borderId="11" fillId="0" fontId="15" numFmtId="0" xfId="0" applyBorder="1" applyFont="1"/>
    <xf borderId="12" fillId="9" fontId="16" numFmtId="0" xfId="0" applyAlignment="1" applyBorder="1" applyFont="1">
      <alignment horizontal="right" vertical="center"/>
    </xf>
    <xf borderId="0" fillId="10" fontId="17" numFmtId="0" xfId="0" applyAlignment="1" applyFill="1" applyFont="1">
      <alignment horizontal="center" readingOrder="0" vertical="center"/>
    </xf>
    <xf borderId="0" fillId="11" fontId="18" numFmtId="0" xfId="0" applyAlignment="1" applyFill="1" applyFont="1">
      <alignment horizontal="center" readingOrder="0" vertical="center"/>
    </xf>
    <xf borderId="13" fillId="9" fontId="19" numFmtId="0" xfId="0" applyAlignment="1" applyBorder="1" applyFont="1">
      <alignment horizontal="center" readingOrder="0" vertical="center"/>
    </xf>
    <xf borderId="14" fillId="9" fontId="19" numFmtId="0" xfId="0" applyAlignment="1" applyBorder="1" applyFont="1">
      <alignment horizontal="center" readingOrder="0" vertical="center"/>
    </xf>
    <xf borderId="0" fillId="4" fontId="5" numFmtId="0" xfId="0" applyFont="1"/>
    <xf borderId="15" fillId="12" fontId="19" numFmtId="0" xfId="0" applyAlignment="1" applyBorder="1" applyFill="1" applyFont="1">
      <alignment horizontal="center" readingOrder="0" vertical="center"/>
    </xf>
    <xf borderId="16" fillId="12" fontId="19" numFmtId="0" xfId="0" applyAlignment="1" applyBorder="1" applyFont="1">
      <alignment horizontal="center" readingOrder="0" vertical="center"/>
    </xf>
    <xf borderId="17" fillId="4" fontId="5" numFmtId="165" xfId="0" applyAlignment="1" applyBorder="1" applyFont="1" applyNumberFormat="1">
      <alignment horizontal="center" readingOrder="0" vertical="center"/>
    </xf>
    <xf borderId="18" fillId="4" fontId="5" numFmtId="0" xfId="0" applyAlignment="1" applyBorder="1" applyFont="1">
      <alignment horizontal="center" readingOrder="0" vertical="center"/>
    </xf>
    <xf borderId="18" fillId="4" fontId="5" numFmtId="0" xfId="0" applyAlignment="1" applyBorder="1" applyFont="1">
      <alignment horizontal="center" readingOrder="0" vertical="center"/>
    </xf>
    <xf borderId="18" fillId="4" fontId="5" numFmtId="0" xfId="0" applyAlignment="1" applyBorder="1" applyFont="1">
      <alignment horizontal="left" readingOrder="0" vertical="center"/>
    </xf>
    <xf borderId="18" fillId="4" fontId="5" numFmtId="3" xfId="0" applyAlignment="1" applyBorder="1" applyFont="1" applyNumberFormat="1">
      <alignment horizontal="right" readingOrder="0" vertical="center"/>
    </xf>
    <xf borderId="18" fillId="4" fontId="5" numFmtId="3" xfId="0" applyAlignment="1" applyBorder="1" applyFont="1" applyNumberFormat="1">
      <alignment horizontal="right" vertical="center"/>
    </xf>
    <xf borderId="19" fillId="4" fontId="20" numFmtId="0" xfId="0" applyAlignment="1" applyBorder="1" applyFont="1">
      <alignment horizontal="center" readingOrder="0" vertical="center"/>
    </xf>
    <xf borderId="20" fillId="4" fontId="20" numFmtId="3" xfId="0" applyAlignment="1" applyBorder="1" applyFont="1" applyNumberFormat="1">
      <alignment horizontal="right" readingOrder="0" vertical="center"/>
    </xf>
    <xf borderId="20" fillId="4" fontId="5" numFmtId="0" xfId="0" applyAlignment="1" applyBorder="1" applyFont="1">
      <alignment horizontal="center" vertical="center"/>
    </xf>
    <xf borderId="20" fillId="4" fontId="5" numFmtId="0" xfId="0" applyAlignment="1" applyBorder="1" applyFont="1">
      <alignment horizontal="left" vertical="center"/>
    </xf>
    <xf borderId="21" fillId="3" fontId="5" numFmtId="165" xfId="0" applyAlignment="1" applyBorder="1" applyFont="1" applyNumberFormat="1">
      <alignment horizontal="center" readingOrder="0" vertical="center"/>
    </xf>
    <xf borderId="22" fillId="3" fontId="5" numFmtId="0" xfId="0" applyAlignment="1" applyBorder="1" applyFont="1">
      <alignment horizontal="center" readingOrder="0" vertical="center"/>
    </xf>
    <xf borderId="22" fillId="3" fontId="5" numFmtId="0" xfId="0" applyAlignment="1" applyBorder="1" applyFont="1">
      <alignment horizontal="center" readingOrder="0" vertical="center"/>
    </xf>
    <xf borderId="22" fillId="3" fontId="5" numFmtId="0" xfId="0" applyAlignment="1" applyBorder="1" applyFont="1">
      <alignment horizontal="left" readingOrder="0" vertical="center"/>
    </xf>
    <xf borderId="22" fillId="3" fontId="5" numFmtId="3" xfId="0" applyAlignment="1" applyBorder="1" applyFont="1" applyNumberFormat="1">
      <alignment horizontal="right" readingOrder="0" vertical="center"/>
    </xf>
    <xf borderId="22" fillId="3" fontId="5" numFmtId="3" xfId="0" applyAlignment="1" applyBorder="1" applyFont="1" applyNumberFormat="1">
      <alignment horizontal="right" vertical="center"/>
    </xf>
    <xf borderId="19" fillId="3" fontId="5" numFmtId="165" xfId="0" applyAlignment="1" applyBorder="1" applyFont="1" applyNumberFormat="1">
      <alignment horizontal="center" readingOrder="0" vertical="center"/>
    </xf>
    <xf borderId="20" fillId="3" fontId="5" numFmtId="3" xfId="0" applyAlignment="1" applyBorder="1" applyFont="1" applyNumberFormat="1">
      <alignment horizontal="right" readingOrder="0" vertical="center"/>
    </xf>
    <xf borderId="20" fillId="3" fontId="5" numFmtId="0" xfId="0" applyAlignment="1" applyBorder="1" applyFont="1">
      <alignment horizontal="center" readingOrder="0" vertical="center"/>
    </xf>
    <xf borderId="20" fillId="3" fontId="5" numFmtId="0" xfId="0" applyAlignment="1" applyBorder="1" applyFont="1">
      <alignment horizontal="left" readingOrder="0" vertical="center"/>
    </xf>
    <xf borderId="21" fillId="4" fontId="5" numFmtId="165" xfId="0" applyAlignment="1" applyBorder="1" applyFont="1" applyNumberFormat="1">
      <alignment horizontal="center" readingOrder="0" vertical="center"/>
    </xf>
    <xf borderId="22" fillId="4" fontId="5" numFmtId="0" xfId="0" applyAlignment="1" applyBorder="1" applyFont="1">
      <alignment horizontal="center" readingOrder="0" vertical="center"/>
    </xf>
    <xf borderId="22" fillId="4" fontId="5" numFmtId="0" xfId="0" applyAlignment="1" applyBorder="1" applyFont="1">
      <alignment horizontal="center" readingOrder="0" vertical="center"/>
    </xf>
    <xf borderId="22" fillId="4" fontId="5" numFmtId="0" xfId="0" applyAlignment="1" applyBorder="1" applyFont="1">
      <alignment horizontal="left" readingOrder="0" vertical="center"/>
    </xf>
    <xf borderId="22" fillId="4" fontId="5" numFmtId="3" xfId="0" applyAlignment="1" applyBorder="1" applyFont="1" applyNumberFormat="1">
      <alignment horizontal="right" readingOrder="0" vertical="center"/>
    </xf>
    <xf borderId="22" fillId="4" fontId="5" numFmtId="3" xfId="0" applyAlignment="1" applyBorder="1" applyFont="1" applyNumberFormat="1">
      <alignment horizontal="right" vertical="center"/>
    </xf>
    <xf borderId="19" fillId="4" fontId="5" numFmtId="165" xfId="0" applyAlignment="1" applyBorder="1" applyFont="1" applyNumberFormat="1">
      <alignment horizontal="center" readingOrder="0" vertical="center"/>
    </xf>
    <xf borderId="20" fillId="4" fontId="5" numFmtId="3" xfId="0" applyAlignment="1" applyBorder="1" applyFont="1" applyNumberFormat="1">
      <alignment horizontal="right" readingOrder="0" vertical="center"/>
    </xf>
    <xf borderId="20" fillId="4" fontId="5" numFmtId="0" xfId="0" applyAlignment="1" applyBorder="1" applyFont="1">
      <alignment horizontal="center" readingOrder="0" vertical="center"/>
    </xf>
    <xf borderId="20" fillId="4" fontId="5" numFmtId="0" xfId="0" applyAlignment="1" applyBorder="1" applyFont="1">
      <alignment horizontal="left" readingOrder="0" vertical="center"/>
    </xf>
    <xf borderId="23" fillId="3" fontId="5" numFmtId="165" xfId="0" applyAlignment="1" applyBorder="1" applyFont="1" applyNumberFormat="1">
      <alignment horizontal="center" readingOrder="0" vertical="center"/>
    </xf>
    <xf borderId="23" fillId="3" fontId="5" numFmtId="0" xfId="0" applyAlignment="1" applyBorder="1" applyFont="1">
      <alignment horizontal="center" readingOrder="0" vertical="center"/>
    </xf>
    <xf borderId="23" fillId="3" fontId="5" numFmtId="0" xfId="0" applyAlignment="1" applyBorder="1" applyFont="1">
      <alignment horizontal="center" readingOrder="0" vertical="center"/>
    </xf>
    <xf borderId="23" fillId="3" fontId="5" numFmtId="0" xfId="0" applyAlignment="1" applyBorder="1" applyFont="1">
      <alignment horizontal="left" readingOrder="0" vertical="center"/>
    </xf>
    <xf borderId="23" fillId="3" fontId="5" numFmtId="3" xfId="0" applyAlignment="1" applyBorder="1" applyFont="1" applyNumberFormat="1">
      <alignment horizontal="right" readingOrder="0" vertical="center"/>
    </xf>
    <xf borderId="24" fillId="3" fontId="5" numFmtId="3" xfId="0" applyAlignment="1" applyBorder="1" applyFont="1" applyNumberFormat="1">
      <alignment horizontal="right" vertical="center"/>
    </xf>
    <xf borderId="0" fillId="3" fontId="5" numFmtId="0" xfId="0" applyFont="1"/>
    <xf borderId="17" fillId="4" fontId="5" numFmtId="165" xfId="0" applyAlignment="1" applyBorder="1" applyFont="1" applyNumberFormat="1">
      <alignment horizontal="center" vertical="center"/>
    </xf>
    <xf borderId="18" fillId="4" fontId="5" numFmtId="0" xfId="0" applyAlignment="1" applyBorder="1" applyFont="1">
      <alignment horizontal="center" vertical="center"/>
    </xf>
    <xf borderId="10" fillId="9" fontId="11" numFmtId="0" xfId="0" applyAlignment="1" applyBorder="1" applyFont="1">
      <alignment horizontal="left" readingOrder="0" vertical="center"/>
    </xf>
    <xf borderId="11" fillId="9" fontId="11" numFmtId="3" xfId="0" applyAlignment="1" applyBorder="1" applyFont="1" applyNumberFormat="1">
      <alignment horizontal="right" vertical="center"/>
    </xf>
    <xf borderId="11" fillId="9" fontId="11" numFmtId="0" xfId="0" applyAlignment="1" applyBorder="1" applyFont="1">
      <alignment horizontal="right" vertical="center"/>
    </xf>
    <xf borderId="11" fillId="9" fontId="11" numFmtId="0" xfId="0" applyAlignment="1" applyBorder="1" applyFont="1">
      <alignment horizontal="left" readingOrder="0" vertical="center"/>
    </xf>
    <xf borderId="11" fillId="9" fontId="11" numFmtId="0" xfId="0" applyAlignment="1" applyBorder="1" applyFont="1">
      <alignment vertical="center"/>
    </xf>
    <xf borderId="12" fillId="9" fontId="11" numFmtId="0" xfId="0" applyAlignment="1" applyBorder="1" applyFont="1">
      <alignment vertical="center"/>
    </xf>
    <xf borderId="10" fillId="9" fontId="21" numFmtId="0" xfId="0" applyAlignment="1" applyBorder="1" applyFont="1">
      <alignment horizontal="center" readingOrder="0" vertical="center"/>
    </xf>
    <xf borderId="12" fillId="0" fontId="15" numFmtId="0" xfId="0" applyBorder="1" applyFont="1"/>
    <xf borderId="11" fillId="0" fontId="22" numFmtId="167" xfId="0" applyAlignment="1" applyBorder="1" applyFont="1" applyNumberFormat="1">
      <alignment horizontal="right" vertical="center"/>
    </xf>
    <xf borderId="23" fillId="3" fontId="5" numFmtId="3" xfId="0" applyAlignment="1" applyBorder="1" applyFont="1" applyNumberFormat="1">
      <alignment horizontal="right" vertical="center"/>
    </xf>
    <xf borderId="20" fillId="3" fontId="5" numFmtId="0" xfId="0" applyAlignment="1" applyBorder="1" applyFont="1">
      <alignment horizontal="left" vertical="center"/>
    </xf>
    <xf borderId="23" fillId="3" fontId="5" numFmtId="165" xfId="0" applyAlignment="1" applyBorder="1" applyFont="1" applyNumberFormat="1">
      <alignment horizontal="center" vertical="center"/>
    </xf>
    <xf borderId="23" fillId="3" fontId="5" numFmtId="0" xfId="0" applyAlignment="1" applyBorder="1" applyFont="1">
      <alignment horizontal="center" vertical="center"/>
    </xf>
    <xf borderId="23" fillId="3" fontId="5" numFmtId="0" xfId="0" applyAlignment="1" applyBorder="1" applyFont="1">
      <alignment horizontal="left" vertical="center"/>
    </xf>
    <xf borderId="20" fillId="4" fontId="5" numFmtId="165" xfId="0" applyAlignment="1" applyBorder="1" applyFont="1" applyNumberFormat="1">
      <alignment horizontal="center" vertical="center"/>
    </xf>
    <xf borderId="20" fillId="4" fontId="5" numFmtId="3" xfId="0" applyAlignment="1" applyBorder="1" applyFont="1" applyNumberFormat="1">
      <alignment horizontal="right" vertical="center"/>
    </xf>
    <xf borderId="25" fillId="4" fontId="5" numFmtId="3" xfId="0" applyAlignment="1" applyBorder="1" applyFont="1" applyNumberFormat="1">
      <alignment horizontal="right" vertical="center"/>
    </xf>
    <xf borderId="20" fillId="3" fontId="5" numFmtId="165" xfId="0" applyAlignment="1" applyBorder="1" applyFont="1" applyNumberFormat="1">
      <alignment horizontal="center" vertical="center"/>
    </xf>
    <xf borderId="20" fillId="3" fontId="5" numFmtId="0" xfId="0" applyAlignment="1" applyBorder="1" applyFont="1">
      <alignment horizontal="center" vertical="center"/>
    </xf>
    <xf borderId="20" fillId="3" fontId="5" numFmtId="3" xfId="0" applyAlignment="1" applyBorder="1" applyFont="1" applyNumberFormat="1">
      <alignment horizontal="right" vertical="center"/>
    </xf>
    <xf borderId="25" fillId="3" fontId="5" numFmtId="3" xfId="0" applyAlignment="1" applyBorder="1" applyFont="1" applyNumberFormat="1">
      <alignment horizontal="right" vertical="center"/>
    </xf>
    <xf borderId="23" fillId="4" fontId="5" numFmtId="165" xfId="0" applyAlignment="1" applyBorder="1" applyFont="1" applyNumberFormat="1">
      <alignment horizontal="center" readingOrder="0" vertical="center"/>
    </xf>
    <xf borderId="23" fillId="4" fontId="5" numFmtId="0" xfId="0" applyAlignment="1" applyBorder="1" applyFont="1">
      <alignment horizontal="center" readingOrder="0" vertical="center"/>
    </xf>
    <xf borderId="23" fillId="4" fontId="5" numFmtId="0" xfId="0" applyAlignment="1" applyBorder="1" applyFont="1">
      <alignment horizontal="center" readingOrder="0" vertical="center"/>
    </xf>
    <xf borderId="23" fillId="4" fontId="5" numFmtId="0" xfId="0" applyAlignment="1" applyBorder="1" applyFont="1">
      <alignment horizontal="left" readingOrder="0" vertical="center"/>
    </xf>
    <xf borderId="23" fillId="4" fontId="5" numFmtId="3" xfId="0" applyAlignment="1" applyBorder="1" applyFont="1" applyNumberFormat="1">
      <alignment horizontal="right" readingOrder="0" vertical="center"/>
    </xf>
    <xf borderId="23" fillId="4" fontId="5" numFmtId="3" xfId="0" applyAlignment="1" applyBorder="1" applyFont="1" applyNumberFormat="1">
      <alignment horizontal="right" vertical="center"/>
    </xf>
    <xf borderId="24" fillId="4" fontId="5" numFmtId="3" xfId="0" applyAlignment="1" applyBorder="1" applyFont="1" applyNumberFormat="1">
      <alignment horizontal="right" vertical="center"/>
    </xf>
    <xf borderId="17" fillId="3" fontId="5" numFmtId="165" xfId="0" applyAlignment="1" applyBorder="1" applyFont="1" applyNumberFormat="1">
      <alignment horizontal="center" vertical="center"/>
    </xf>
    <xf borderId="18" fillId="3" fontId="5" numFmtId="0" xfId="0" applyAlignment="1" applyBorder="1" applyFont="1">
      <alignment horizontal="center" vertical="center"/>
    </xf>
    <xf borderId="18" fillId="3" fontId="5" numFmtId="0" xfId="0" applyAlignment="1" applyBorder="1" applyFont="1">
      <alignment horizontal="left" readingOrder="0" vertical="center"/>
    </xf>
    <xf borderId="18" fillId="3" fontId="5" numFmtId="3" xfId="0" applyAlignment="1" applyBorder="1" applyFont="1" applyNumberFormat="1">
      <alignment horizontal="right" readingOrder="0" vertical="center"/>
    </xf>
    <xf borderId="18" fillId="3" fontId="5" numFmtId="3" xfId="0" applyAlignment="1" applyBorder="1" applyFont="1" applyNumberFormat="1">
      <alignment horizontal="right" vertical="center"/>
    </xf>
    <xf borderId="23" fillId="4" fontId="5" numFmtId="165" xfId="0" applyAlignment="1" applyBorder="1" applyFont="1" applyNumberFormat="1">
      <alignment horizontal="center" vertical="center"/>
    </xf>
    <xf borderId="23" fillId="4" fontId="5" numFmtId="0" xfId="0" applyAlignment="1" applyBorder="1" applyFont="1">
      <alignment horizontal="center" vertical="center"/>
    </xf>
    <xf borderId="23" fillId="4" fontId="5" numFmtId="0" xfId="0" applyAlignment="1" applyBorder="1" applyFont="1">
      <alignment horizontal="left" vertical="center"/>
    </xf>
    <xf borderId="0" fillId="0" fontId="5" numFmtId="0" xfId="0" applyFont="1"/>
    <xf borderId="0" fillId="0" fontId="5" numFmtId="3" xfId="0" applyFont="1" applyNumberFormat="1"/>
    <xf borderId="0" fillId="0" fontId="5" numFmtId="167" xfId="0" applyFont="1" applyNumberFormat="1"/>
    <xf borderId="20" fillId="4" fontId="5" numFmtId="3" xfId="0" applyAlignment="1" applyBorder="1" applyFont="1" applyNumberFormat="1">
      <alignment horizontal="center" vertical="center"/>
    </xf>
    <xf borderId="20" fillId="4" fontId="5" numFmtId="0" xfId="0" applyAlignment="1" applyBorder="1" applyFont="1">
      <alignment horizontal="center" vertical="center"/>
    </xf>
    <xf borderId="20" fillId="4" fontId="5" numFmtId="0" xfId="0" applyAlignment="1" applyBorder="1" applyFont="1">
      <alignment horizontal="left" vertical="center"/>
    </xf>
    <xf borderId="20" fillId="4" fontId="5" numFmtId="167" xfId="0" applyAlignment="1" applyBorder="1" applyFont="1" applyNumberFormat="1">
      <alignment horizontal="center" readingOrder="0" vertical="center"/>
    </xf>
    <xf borderId="20" fillId="4" fontId="5" numFmtId="167" xfId="0" applyAlignment="1" applyBorder="1" applyFont="1" applyNumberFormat="1">
      <alignment horizontal="left" vertical="center"/>
    </xf>
    <xf borderId="0" fillId="0" fontId="5" numFmtId="168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169" xfId="0" applyAlignment="1" applyFont="1" applyNumberFormat="1">
      <alignment readingOrder="0"/>
    </xf>
    <xf borderId="0" fillId="0" fontId="23" numFmtId="0" xfId="0" applyAlignment="1" applyFont="1">
      <alignment readingOrder="0"/>
    </xf>
    <xf borderId="0" fillId="0" fontId="23" numFmtId="168" xfId="0" applyAlignment="1" applyFont="1" applyNumberFormat="1">
      <alignment readingOrder="0"/>
    </xf>
  </cellXfs>
  <cellStyles count="1">
    <cellStyle xfId="0" name="Normal" builtinId="0"/>
  </cellStyles>
  <dxfs count="2">
    <dxf>
      <font>
        <color rgb="FFB71C1C"/>
      </font>
      <fill>
        <patternFill patternType="solid">
          <fgColor rgb="FFFDECEA"/>
          <bgColor rgb="FFFDECEA"/>
        </patternFill>
      </fill>
      <border/>
    </dxf>
    <dxf>
      <font>
        <color rgb="FF1B5E20"/>
      </font>
      <fill>
        <patternFill patternType="solid">
          <fgColor rgb="FFE8F5E9"/>
          <bgColor rgb="FFE8F5E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51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5.13"/>
    <col customWidth="1" min="2" max="2" width="13.88"/>
    <col customWidth="1" min="3" max="3" width="8.88"/>
    <col customWidth="1" min="4" max="4" width="15.13"/>
    <col customWidth="1" min="5" max="5" width="13.88"/>
    <col customWidth="1" min="6" max="6" width="16.38"/>
    <col customWidth="1" min="7" max="8" width="13.88"/>
    <col customWidth="1" min="9" max="9" width="11.13"/>
    <col customWidth="1" min="10" max="10" width="11.38"/>
  </cols>
  <sheetData>
    <row r="1" ht="28.5" customHeight="1">
      <c r="A1" s="1" t="s">
        <v>0</v>
      </c>
    </row>
    <row r="2" ht="15.0" customHeight="1">
      <c r="A2" s="2" t="str">
        <f>"Last updated: "&amp;TEXT(NOW(),"dd-mmm-yyyy hh:mm AM/PM")</f>
        <v>Last updated: 27-Apr-2026 01:18 pm</v>
      </c>
    </row>
    <row r="3" ht="22.5" customHeight="1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ht="19.5" customHeight="1">
      <c r="A4" s="5" t="s">
        <v>11</v>
      </c>
      <c r="B4" s="6">
        <v>0.0</v>
      </c>
      <c r="C4" s="6">
        <v>4.0</v>
      </c>
      <c r="D4" s="6">
        <v>20.0</v>
      </c>
      <c r="E4" s="6">
        <v>0.0</v>
      </c>
      <c r="F4" s="7">
        <v>20.0</v>
      </c>
      <c r="G4" s="8"/>
      <c r="H4" s="8"/>
      <c r="I4" s="9">
        <v>20567.0</v>
      </c>
      <c r="J4" s="10" t="s">
        <v>12</v>
      </c>
    </row>
    <row r="5" ht="19.5" customHeight="1">
      <c r="A5" s="11" t="s">
        <v>13</v>
      </c>
      <c r="B5" s="12">
        <v>180000.0</v>
      </c>
      <c r="C5" s="12">
        <v>4.0</v>
      </c>
      <c r="D5" s="12">
        <v>776310.0</v>
      </c>
      <c r="E5" s="12">
        <v>197222.0</v>
      </c>
      <c r="F5" s="13">
        <v>759088.0</v>
      </c>
      <c r="G5" s="14">
        <v>46092.0</v>
      </c>
      <c r="H5" s="14">
        <v>46093.0</v>
      </c>
      <c r="I5" s="9">
        <v>44.0</v>
      </c>
      <c r="J5" s="10" t="s">
        <v>12</v>
      </c>
    </row>
    <row r="6" ht="19.5" customHeight="1">
      <c r="A6" s="5" t="s">
        <v>14</v>
      </c>
      <c r="B6" s="6">
        <v>550000.0</v>
      </c>
      <c r="C6" s="6">
        <v>6.0</v>
      </c>
      <c r="D6" s="6">
        <v>787271.0</v>
      </c>
      <c r="E6" s="6">
        <v>280000.0</v>
      </c>
      <c r="F6" s="7">
        <v>1057271.0</v>
      </c>
      <c r="G6" s="15">
        <v>46113.0</v>
      </c>
      <c r="H6" s="15">
        <v>46028.0</v>
      </c>
      <c r="I6" s="16">
        <v>23.0</v>
      </c>
      <c r="J6" s="17" t="s">
        <v>15</v>
      </c>
    </row>
    <row r="7" ht="19.5" customHeight="1">
      <c r="A7" s="11" t="s">
        <v>16</v>
      </c>
      <c r="B7" s="12">
        <v>300000.0</v>
      </c>
      <c r="C7" s="12">
        <v>4.0</v>
      </c>
      <c r="D7" s="12">
        <v>513943.0</v>
      </c>
      <c r="E7" s="12">
        <v>295000.0</v>
      </c>
      <c r="F7" s="13">
        <v>518943.0</v>
      </c>
      <c r="G7" s="14">
        <v>46128.0</v>
      </c>
      <c r="H7" s="14">
        <v>46106.0</v>
      </c>
      <c r="I7" s="18">
        <v>8.0</v>
      </c>
      <c r="J7" s="17" t="s">
        <v>15</v>
      </c>
    </row>
    <row r="8" ht="19.5" customHeight="1">
      <c r="A8" s="5" t="s">
        <v>17</v>
      </c>
      <c r="B8" s="6">
        <v>40000.0</v>
      </c>
      <c r="C8" s="6">
        <v>1.0</v>
      </c>
      <c r="D8" s="6">
        <v>80525.0</v>
      </c>
      <c r="E8" s="6">
        <v>116002.0</v>
      </c>
      <c r="F8" s="7">
        <v>4523.0</v>
      </c>
      <c r="G8" s="15">
        <v>46073.0</v>
      </c>
      <c r="H8" s="15">
        <v>46225.0</v>
      </c>
      <c r="I8" s="9">
        <v>63.0</v>
      </c>
      <c r="J8" s="10" t="s">
        <v>12</v>
      </c>
    </row>
    <row r="9" ht="19.5" customHeight="1">
      <c r="A9" s="11" t="s">
        <v>18</v>
      </c>
      <c r="B9" s="12">
        <v>95000.0</v>
      </c>
      <c r="C9" s="12">
        <v>3.0</v>
      </c>
      <c r="D9" s="12">
        <v>254730.0</v>
      </c>
      <c r="E9" s="12">
        <v>12000.0</v>
      </c>
      <c r="F9" s="13">
        <v>337730.0</v>
      </c>
      <c r="G9" s="14">
        <v>46119.0</v>
      </c>
      <c r="H9" s="14">
        <v>46095.0</v>
      </c>
      <c r="I9" s="16">
        <v>17.0</v>
      </c>
      <c r="J9" s="17" t="s">
        <v>15</v>
      </c>
    </row>
    <row r="10" ht="19.5" customHeight="1">
      <c r="A10" s="5" t="s">
        <v>19</v>
      </c>
      <c r="B10" s="6">
        <v>120000.0</v>
      </c>
      <c r="C10" s="6">
        <v>3.0</v>
      </c>
      <c r="D10" s="6">
        <v>370929.0</v>
      </c>
      <c r="E10" s="6">
        <v>60000.0</v>
      </c>
      <c r="F10" s="7">
        <v>430929.0</v>
      </c>
      <c r="G10" s="15">
        <v>46106.0</v>
      </c>
      <c r="H10" s="15">
        <v>46099.0</v>
      </c>
      <c r="I10" s="16">
        <v>30.0</v>
      </c>
      <c r="J10" s="17" t="s">
        <v>15</v>
      </c>
    </row>
    <row r="11" ht="19.5" customHeight="1">
      <c r="A11" s="11" t="s">
        <v>20</v>
      </c>
      <c r="B11" s="12">
        <v>80000.0</v>
      </c>
      <c r="C11" s="12">
        <v>2.0</v>
      </c>
      <c r="D11" s="12">
        <v>176540.0</v>
      </c>
      <c r="E11" s="12">
        <v>25000.0</v>
      </c>
      <c r="F11" s="13">
        <v>231540.0</v>
      </c>
      <c r="G11" s="14">
        <v>46134.0</v>
      </c>
      <c r="H11" s="14">
        <v>46133.0</v>
      </c>
      <c r="I11" s="18">
        <v>2.0</v>
      </c>
      <c r="J11" s="17" t="s">
        <v>15</v>
      </c>
    </row>
    <row r="12" ht="19.5" customHeight="1">
      <c r="A12" s="5" t="s">
        <v>21</v>
      </c>
      <c r="B12" s="6">
        <v>50000.0</v>
      </c>
      <c r="C12" s="6">
        <v>1.0</v>
      </c>
      <c r="D12" s="6">
        <v>60676.0</v>
      </c>
      <c r="E12" s="6">
        <v>18000.0</v>
      </c>
      <c r="F12" s="7">
        <v>92676.0</v>
      </c>
      <c r="G12" s="15">
        <v>46067.0</v>
      </c>
      <c r="H12" s="15">
        <v>46071.0</v>
      </c>
      <c r="I12" s="9">
        <v>69.0</v>
      </c>
      <c r="J12" s="10" t="s">
        <v>12</v>
      </c>
    </row>
    <row r="13" ht="19.5" customHeight="1">
      <c r="A13" s="11" t="s">
        <v>22</v>
      </c>
      <c r="B13" s="12">
        <v>60000.0</v>
      </c>
      <c r="C13" s="12">
        <v>2.0</v>
      </c>
      <c r="D13" s="12">
        <v>242279.0</v>
      </c>
      <c r="E13" s="12">
        <v>64000.0</v>
      </c>
      <c r="F13" s="13">
        <v>238279.0</v>
      </c>
      <c r="G13" s="14">
        <v>46124.0</v>
      </c>
      <c r="H13" s="14">
        <v>46056.0</v>
      </c>
      <c r="I13" s="18">
        <v>12.0</v>
      </c>
      <c r="J13" s="17" t="s">
        <v>15</v>
      </c>
    </row>
    <row r="14" ht="21.0" customHeight="1">
      <c r="A14" s="19"/>
      <c r="B14" s="20"/>
      <c r="C14" s="20"/>
      <c r="D14" s="20"/>
      <c r="E14" s="20"/>
      <c r="F14" s="20"/>
      <c r="G14" s="20"/>
      <c r="H14" s="20"/>
      <c r="I14" s="20"/>
      <c r="J14" s="21"/>
    </row>
    <row r="15" ht="21.0" customHeight="1">
      <c r="A15" s="22" t="s">
        <v>23</v>
      </c>
      <c r="B15" s="23">
        <f t="shared" ref="B15:F15" si="1">IFERROR(SUM(B4:B13),0)</f>
        <v>1475000</v>
      </c>
      <c r="C15" s="23">
        <f t="shared" si="1"/>
        <v>30</v>
      </c>
      <c r="D15" s="23">
        <f t="shared" si="1"/>
        <v>3263223</v>
      </c>
      <c r="E15" s="23">
        <f t="shared" si="1"/>
        <v>1067224</v>
      </c>
      <c r="F15" s="23">
        <f t="shared" si="1"/>
        <v>3670999</v>
      </c>
      <c r="G15" s="23"/>
      <c r="H15" s="23"/>
      <c r="I15" s="23"/>
      <c r="J15" s="24"/>
    </row>
    <row r="16">
      <c r="A16" s="25"/>
      <c r="B16" s="26"/>
      <c r="C16" s="26"/>
      <c r="D16" s="26"/>
      <c r="E16" s="27"/>
      <c r="F16" s="28"/>
      <c r="G16" s="28"/>
      <c r="H16" s="28"/>
      <c r="I16" s="29"/>
    </row>
    <row r="17">
      <c r="A17" s="25"/>
      <c r="B17" s="26"/>
      <c r="C17" s="26"/>
      <c r="D17" s="26"/>
      <c r="E17" s="27"/>
      <c r="F17" s="28"/>
      <c r="G17" s="28"/>
      <c r="H17" s="28"/>
      <c r="I17" s="29"/>
    </row>
    <row r="18">
      <c r="A18" s="25"/>
      <c r="B18" s="26"/>
      <c r="C18" s="26"/>
      <c r="D18" s="26"/>
      <c r="E18" s="27"/>
      <c r="F18" s="28"/>
      <c r="G18" s="28"/>
      <c r="H18" s="28"/>
      <c r="I18" s="29"/>
    </row>
    <row r="19">
      <c r="A19" s="25"/>
      <c r="B19" s="26"/>
      <c r="C19" s="26"/>
      <c r="D19" s="26"/>
      <c r="E19" s="27"/>
      <c r="F19" s="30"/>
      <c r="G19" s="28"/>
      <c r="H19" s="28"/>
      <c r="I19" s="31"/>
    </row>
    <row r="20">
      <c r="A20" s="25"/>
      <c r="B20" s="26"/>
      <c r="C20" s="26"/>
      <c r="D20" s="26"/>
      <c r="E20" s="27"/>
      <c r="F20" s="30"/>
      <c r="G20" s="28"/>
      <c r="H20" s="28"/>
      <c r="I20" s="31"/>
    </row>
    <row r="21">
      <c r="A21" s="25"/>
      <c r="B21" s="26"/>
      <c r="C21" s="26"/>
      <c r="D21" s="26"/>
      <c r="E21" s="27"/>
      <c r="F21" s="28"/>
      <c r="G21" s="30"/>
      <c r="H21" s="28"/>
      <c r="I21" s="29"/>
    </row>
    <row r="22">
      <c r="A22" s="25"/>
      <c r="B22" s="26"/>
      <c r="C22" s="26"/>
      <c r="D22" s="26"/>
      <c r="E22" s="27"/>
      <c r="F22" s="28"/>
      <c r="G22" s="28"/>
      <c r="H22" s="28"/>
      <c r="I22" s="29"/>
    </row>
    <row r="23">
      <c r="A23" s="25"/>
      <c r="B23" s="26"/>
      <c r="C23" s="26"/>
      <c r="D23" s="26"/>
      <c r="E23" s="27"/>
      <c r="F23" s="30"/>
      <c r="G23" s="28"/>
      <c r="H23" s="28"/>
      <c r="I23" s="31"/>
    </row>
    <row r="24">
      <c r="A24" s="25"/>
      <c r="B24" s="26"/>
      <c r="C24" s="26"/>
      <c r="D24" s="26"/>
      <c r="E24" s="27"/>
      <c r="F24" s="30"/>
      <c r="G24" s="28"/>
      <c r="H24" s="28"/>
      <c r="I24" s="31"/>
    </row>
    <row r="25">
      <c r="A25" s="25"/>
      <c r="B25" s="26"/>
      <c r="C25" s="26"/>
      <c r="D25" s="26"/>
      <c r="E25" s="27"/>
      <c r="F25" s="28"/>
      <c r="G25" s="28"/>
      <c r="H25" s="28"/>
      <c r="I25" s="29"/>
    </row>
    <row r="26">
      <c r="A26" s="25"/>
      <c r="B26" s="26"/>
      <c r="C26" s="26"/>
      <c r="D26" s="26"/>
      <c r="E26" s="27"/>
      <c r="F26" s="28"/>
      <c r="G26" s="28"/>
      <c r="H26" s="28"/>
      <c r="I26" s="29"/>
    </row>
    <row r="27">
      <c r="A27" s="25"/>
      <c r="B27" s="26"/>
      <c r="C27" s="26"/>
      <c r="D27" s="26"/>
      <c r="E27" s="27"/>
      <c r="F27" s="30"/>
      <c r="G27" s="28"/>
      <c r="H27" s="28"/>
      <c r="I27" s="31"/>
    </row>
    <row r="28">
      <c r="A28" s="25"/>
      <c r="B28" s="26"/>
      <c r="C28" s="26"/>
      <c r="D28" s="26"/>
      <c r="E28" s="27"/>
      <c r="F28" s="28"/>
      <c r="G28" s="28"/>
      <c r="H28" s="28"/>
      <c r="I28" s="29"/>
    </row>
    <row r="29">
      <c r="A29" s="25"/>
      <c r="B29" s="26"/>
      <c r="C29" s="26"/>
      <c r="D29" s="32"/>
      <c r="E29" s="27"/>
      <c r="F29" s="28"/>
      <c r="G29" s="28"/>
      <c r="H29" s="28"/>
      <c r="I29" s="29"/>
    </row>
    <row r="30">
      <c r="A30" s="25"/>
      <c r="B30" s="26"/>
      <c r="C30" s="26"/>
      <c r="D30" s="26"/>
      <c r="E30" s="27"/>
      <c r="F30" s="28"/>
      <c r="G30" s="28"/>
      <c r="H30" s="28"/>
      <c r="I30" s="29"/>
    </row>
    <row r="31">
      <c r="A31" s="25"/>
      <c r="B31" s="26"/>
      <c r="C31" s="26"/>
      <c r="D31" s="26"/>
      <c r="E31" s="27"/>
      <c r="F31" s="30"/>
      <c r="G31" s="28"/>
      <c r="H31" s="28"/>
      <c r="I31" s="31"/>
    </row>
    <row r="32">
      <c r="A32" s="25"/>
      <c r="B32" s="26"/>
      <c r="C32" s="26"/>
      <c r="D32" s="26"/>
      <c r="E32" s="27"/>
      <c r="F32" s="28"/>
      <c r="G32" s="28"/>
      <c r="H32" s="28"/>
      <c r="I32" s="29"/>
    </row>
  </sheetData>
  <mergeCells count="2">
    <mergeCell ref="A1:J1"/>
    <mergeCell ref="A2:J2"/>
  </mergeCells>
  <hyperlinks>
    <hyperlink display="767" location="null!A1" ref="A4"/>
    <hyperlink display="Aaleshbhai" location="Aaleshbhai!A1" ref="A5"/>
    <hyperlink display="D.E." location="D.E.!A1" ref="A6"/>
    <hyperlink display="Diwan Enterprise" location="'Diwan Enterprise'!A1" ref="A7"/>
    <hyperlink display="Kiran Traders" location="'Kiran Traders'!A1" ref="A8"/>
    <hyperlink display="Mehta Metals" location="'Mehta Metals'!A1" ref="A9"/>
    <hyperlink display="Naveenbhai" location="Naveenbhai!A1" ref="A10"/>
    <hyperlink display="Patel Industries" location="'Patel Industries'!A1" ref="A11"/>
    <hyperlink display="Royal Turnings" location="'Royal Turnings'!A1" ref="A12"/>
    <hyperlink display="Shree Brass Works" location="'Shree Brass Works'!A1" ref="A13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2.63"/>
    <col customWidth="1" min="2" max="2" width="11.38"/>
    <col customWidth="1" min="3" max="3" width="11.13"/>
    <col customWidth="1" min="4" max="4" width="22.63"/>
    <col customWidth="1" min="5" max="5" width="10.13"/>
    <col customWidth="1" min="6" max="6" width="9.63"/>
    <col customWidth="1" min="7" max="7" width="13.63"/>
    <col customWidth="1" min="8" max="8" width="11.88"/>
    <col customWidth="1" min="9" max="9" width="7.63"/>
    <col customWidth="1" min="10" max="10" width="10.88"/>
    <col customWidth="1" min="11" max="11" width="15.38"/>
    <col customWidth="1" min="12" max="12" width="1.38"/>
    <col customWidth="1" min="13" max="13" width="12.63"/>
    <col customWidth="1" min="14" max="14" width="14.5"/>
    <col customWidth="1" min="15" max="15" width="10.38"/>
    <col customWidth="1" min="16" max="16" width="26.38"/>
  </cols>
  <sheetData>
    <row r="1" ht="6.0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4"/>
      <c r="M1" s="33"/>
      <c r="N1" s="33"/>
      <c r="O1" s="33"/>
      <c r="P1" s="33"/>
    </row>
    <row r="2" ht="33.0" customHeight="1">
      <c r="A2" s="35" t="s">
        <v>24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7" t="s">
        <v>25</v>
      </c>
    </row>
    <row r="3" ht="7.5" customHeight="1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4"/>
      <c r="M3" s="33"/>
      <c r="N3" s="33"/>
      <c r="O3" s="33"/>
      <c r="P3" s="33"/>
    </row>
    <row r="4" ht="16.5" customHeight="1">
      <c r="A4" s="38" t="s">
        <v>26</v>
      </c>
      <c r="L4" s="34"/>
      <c r="M4" s="39" t="s">
        <v>27</v>
      </c>
    </row>
    <row r="5" ht="21.0" customHeight="1">
      <c r="A5" s="40" t="s">
        <v>28</v>
      </c>
      <c r="B5" s="40" t="s">
        <v>29</v>
      </c>
      <c r="C5" s="40" t="s">
        <v>30</v>
      </c>
      <c r="D5" s="40" t="s">
        <v>31</v>
      </c>
      <c r="E5" s="40" t="s">
        <v>32</v>
      </c>
      <c r="F5" s="40" t="s">
        <v>33</v>
      </c>
      <c r="G5" s="40" t="s">
        <v>34</v>
      </c>
      <c r="H5" s="40" t="s">
        <v>35</v>
      </c>
      <c r="I5" s="40" t="s">
        <v>36</v>
      </c>
      <c r="J5" s="40" t="s">
        <v>37</v>
      </c>
      <c r="K5" s="41" t="s">
        <v>38</v>
      </c>
      <c r="L5" s="42"/>
      <c r="M5" s="43" t="s">
        <v>28</v>
      </c>
      <c r="N5" s="44" t="s">
        <v>34</v>
      </c>
      <c r="O5" s="44" t="s">
        <v>39</v>
      </c>
      <c r="P5" s="44" t="s">
        <v>40</v>
      </c>
    </row>
    <row r="6" ht="18.75" customHeight="1">
      <c r="A6" s="45">
        <v>46027.0</v>
      </c>
      <c r="B6" s="46" t="s">
        <v>41</v>
      </c>
      <c r="C6" s="47">
        <v>720.0</v>
      </c>
      <c r="D6" s="48" t="s">
        <v>42</v>
      </c>
      <c r="E6" s="49">
        <v>100.0</v>
      </c>
      <c r="F6" s="49">
        <v>830.0</v>
      </c>
      <c r="G6" s="49">
        <v>83000.0</v>
      </c>
      <c r="H6" s="49">
        <v>2000.0</v>
      </c>
      <c r="I6" s="49">
        <v>18.0</v>
      </c>
      <c r="J6" s="49">
        <v>15300.0</v>
      </c>
      <c r="K6" s="50">
        <f t="shared" ref="K6:K10" si="1">G6+H6+J6</f>
        <v>100300</v>
      </c>
      <c r="L6" s="42"/>
      <c r="M6" s="51" t="s">
        <v>2</v>
      </c>
      <c r="N6" s="52">
        <v>550000.0</v>
      </c>
      <c r="O6" s="53"/>
      <c r="P6" s="54"/>
    </row>
    <row r="7" ht="18.75" customHeight="1">
      <c r="A7" s="55">
        <v>46084.0</v>
      </c>
      <c r="B7" s="56" t="s">
        <v>43</v>
      </c>
      <c r="C7" s="57">
        <v>716.0</v>
      </c>
      <c r="D7" s="58" t="s">
        <v>42</v>
      </c>
      <c r="E7" s="59">
        <v>100.0</v>
      </c>
      <c r="F7" s="59">
        <v>826.0</v>
      </c>
      <c r="G7" s="59">
        <v>82600.0</v>
      </c>
      <c r="H7" s="59">
        <v>2000.0</v>
      </c>
      <c r="I7" s="59">
        <v>18.0</v>
      </c>
      <c r="J7" s="59">
        <v>15228.0</v>
      </c>
      <c r="K7" s="60">
        <f t="shared" si="1"/>
        <v>99828</v>
      </c>
      <c r="L7" s="42"/>
      <c r="M7" s="61">
        <v>46028.0</v>
      </c>
      <c r="N7" s="62">
        <v>100000.0</v>
      </c>
      <c r="O7" s="63" t="s">
        <v>44</v>
      </c>
      <c r="P7" s="64" t="s">
        <v>45</v>
      </c>
    </row>
    <row r="8" ht="18.75" customHeight="1">
      <c r="A8" s="65">
        <v>46111.0</v>
      </c>
      <c r="B8" s="66" t="s">
        <v>46</v>
      </c>
      <c r="C8" s="67">
        <v>707.0</v>
      </c>
      <c r="D8" s="68" t="s">
        <v>42</v>
      </c>
      <c r="E8" s="69">
        <v>100.0</v>
      </c>
      <c r="F8" s="69">
        <v>817.0</v>
      </c>
      <c r="G8" s="69">
        <v>81700.0</v>
      </c>
      <c r="H8" s="69">
        <v>2000.0</v>
      </c>
      <c r="I8" s="70"/>
      <c r="J8" s="70"/>
      <c r="K8" s="70">
        <f t="shared" si="1"/>
        <v>83700</v>
      </c>
      <c r="L8" s="42"/>
      <c r="M8" s="71">
        <v>46082.0</v>
      </c>
      <c r="N8" s="72">
        <v>65000.0</v>
      </c>
      <c r="O8" s="73" t="s">
        <v>44</v>
      </c>
      <c r="P8" s="74" t="s">
        <v>47</v>
      </c>
    </row>
    <row r="9" ht="18.75" customHeight="1">
      <c r="A9" s="55">
        <v>46113.0</v>
      </c>
      <c r="B9" s="56" t="s">
        <v>48</v>
      </c>
      <c r="C9" s="57">
        <v>720.0</v>
      </c>
      <c r="D9" s="58" t="s">
        <v>42</v>
      </c>
      <c r="E9" s="59">
        <v>100.0</v>
      </c>
      <c r="F9" s="59">
        <v>830.0</v>
      </c>
      <c r="G9" s="59">
        <v>83000.0</v>
      </c>
      <c r="H9" s="59">
        <v>2000.0</v>
      </c>
      <c r="I9" s="59">
        <v>18.0</v>
      </c>
      <c r="J9" s="59">
        <v>15300.0</v>
      </c>
      <c r="K9" s="60">
        <f t="shared" si="1"/>
        <v>100300</v>
      </c>
      <c r="L9" s="42"/>
      <c r="M9" s="61">
        <v>46111.0</v>
      </c>
      <c r="N9" s="62">
        <v>50000.0</v>
      </c>
      <c r="O9" s="63" t="s">
        <v>49</v>
      </c>
      <c r="P9" s="64" t="s">
        <v>50</v>
      </c>
    </row>
    <row r="10" ht="18.75" customHeight="1">
      <c r="A10" s="65">
        <v>46132.0</v>
      </c>
      <c r="B10" s="66" t="s">
        <v>51</v>
      </c>
      <c r="C10" s="67">
        <v>765.0</v>
      </c>
      <c r="D10" s="68" t="s">
        <v>42</v>
      </c>
      <c r="E10" s="69">
        <v>250.0</v>
      </c>
      <c r="F10" s="69">
        <v>845.0</v>
      </c>
      <c r="G10" s="69">
        <v>211250.0</v>
      </c>
      <c r="H10" s="69">
        <v>2500.0</v>
      </c>
      <c r="I10" s="70"/>
      <c r="J10" s="70"/>
      <c r="K10" s="70">
        <f t="shared" si="1"/>
        <v>213750</v>
      </c>
      <c r="L10" s="42"/>
      <c r="M10" s="71">
        <v>46114.0</v>
      </c>
      <c r="N10" s="72">
        <v>65000.0</v>
      </c>
      <c r="O10" s="73" t="s">
        <v>44</v>
      </c>
      <c r="P10" s="74" t="s">
        <v>52</v>
      </c>
    </row>
    <row r="11" ht="18.75" customHeight="1">
      <c r="A11" s="75">
        <v>46136.0</v>
      </c>
      <c r="B11" s="76" t="s">
        <v>53</v>
      </c>
      <c r="C11" s="77">
        <v>768.0</v>
      </c>
      <c r="D11" s="78" t="s">
        <v>42</v>
      </c>
      <c r="E11" s="79">
        <v>120.0</v>
      </c>
      <c r="F11" s="79">
        <v>848.0</v>
      </c>
      <c r="G11" s="79">
        <v>101760.0</v>
      </c>
      <c r="H11" s="79">
        <v>2200.0</v>
      </c>
      <c r="I11" s="79">
        <v>18.0</v>
      </c>
      <c r="J11" s="79">
        <v>18713.0</v>
      </c>
      <c r="K11" s="80"/>
      <c r="L11" s="42"/>
      <c r="M11" s="81"/>
      <c r="N11" s="81"/>
      <c r="O11" s="81"/>
      <c r="P11" s="81"/>
    </row>
    <row r="12" ht="18.75" customHeight="1">
      <c r="A12" s="82"/>
      <c r="B12" s="83"/>
      <c r="C12" s="83"/>
      <c r="D12" s="48" t="s">
        <v>54</v>
      </c>
      <c r="E12" s="49">
        <v>80.0</v>
      </c>
      <c r="F12" s="49">
        <v>834.0</v>
      </c>
      <c r="G12" s="49">
        <v>66720.0</v>
      </c>
      <c r="H12" s="50"/>
      <c r="I12" s="50"/>
      <c r="J12" s="50"/>
      <c r="K12" s="50">
        <f>SUM(G11:G12)+SUM(H11:H12)+SUM(J11:J12)</f>
        <v>189393</v>
      </c>
      <c r="L12" s="42"/>
      <c r="M12" s="42"/>
      <c r="N12" s="42"/>
      <c r="O12" s="42"/>
      <c r="P12" s="42"/>
    </row>
    <row r="13">
      <c r="L13" s="42"/>
    </row>
    <row r="14" ht="21.0" customHeight="1">
      <c r="A14" s="84" t="s">
        <v>55</v>
      </c>
      <c r="B14" s="85">
        <f>IFERROR(COUNTIF(K6:K12,"&gt;0"),0)</f>
        <v>6</v>
      </c>
      <c r="C14" s="86"/>
      <c r="D14" s="86"/>
      <c r="E14" s="85">
        <f>IFERROR(SUM(E6:E12),0)</f>
        <v>850</v>
      </c>
      <c r="F14" s="86"/>
      <c r="G14" s="85">
        <f t="shared" ref="G14:H14" si="2">IFERROR(SUM(G6:G12),0)</f>
        <v>710030</v>
      </c>
      <c r="H14" s="85">
        <f t="shared" si="2"/>
        <v>12700</v>
      </c>
      <c r="I14" s="86"/>
      <c r="J14" s="86"/>
      <c r="K14" s="85">
        <f>IFERROR(SUM(K6:K12),0)</f>
        <v>787271</v>
      </c>
      <c r="L14" s="42"/>
      <c r="M14" s="87" t="s">
        <v>56</v>
      </c>
      <c r="N14" s="85">
        <f>IFERROR(SUM(N7:N10),0)</f>
        <v>280000</v>
      </c>
      <c r="O14" s="88"/>
      <c r="P14" s="89"/>
    </row>
    <row r="15">
      <c r="L15" s="42"/>
    </row>
    <row r="16" ht="30.0" customHeight="1">
      <c r="A16" s="90" t="s">
        <v>57</v>
      </c>
      <c r="B16" s="36"/>
      <c r="C16" s="36"/>
      <c r="D16" s="36"/>
      <c r="E16" s="36"/>
      <c r="F16" s="36"/>
      <c r="G16" s="36"/>
      <c r="H16" s="36"/>
      <c r="I16" s="36"/>
      <c r="J16" s="36"/>
      <c r="K16" s="91"/>
      <c r="L16" s="42"/>
      <c r="M16" s="92">
        <f>N6+K14-N14</f>
        <v>1057271</v>
      </c>
      <c r="N16" s="36"/>
      <c r="O16" s="36"/>
      <c r="P16" s="91"/>
    </row>
    <row r="17">
      <c r="L17" s="42"/>
    </row>
    <row r="18">
      <c r="L18" s="42"/>
    </row>
    <row r="19">
      <c r="L19" s="42"/>
    </row>
    <row r="20">
      <c r="L20" s="42"/>
    </row>
    <row r="21">
      <c r="L21" s="42"/>
    </row>
    <row r="22">
      <c r="L22" s="42"/>
    </row>
    <row r="23">
      <c r="L23" s="42"/>
    </row>
    <row r="24">
      <c r="L24" s="42"/>
    </row>
    <row r="25">
      <c r="L25" s="42"/>
    </row>
    <row r="26">
      <c r="L26" s="42"/>
    </row>
    <row r="27">
      <c r="L27" s="42"/>
    </row>
    <row r="28">
      <c r="L28" s="42"/>
    </row>
    <row r="29">
      <c r="L29" s="42"/>
    </row>
    <row r="30">
      <c r="L30" s="42"/>
    </row>
    <row r="31">
      <c r="L31" s="42"/>
    </row>
    <row r="32">
      <c r="L32" s="42"/>
    </row>
    <row r="33">
      <c r="L33" s="42"/>
    </row>
    <row r="34">
      <c r="L34" s="42"/>
    </row>
    <row r="35">
      <c r="L35" s="42"/>
    </row>
    <row r="36">
      <c r="L36" s="42"/>
    </row>
    <row r="37">
      <c r="L37" s="42"/>
    </row>
    <row r="38">
      <c r="L38" s="42"/>
    </row>
    <row r="39">
      <c r="L39" s="42"/>
    </row>
    <row r="40">
      <c r="L40" s="42"/>
    </row>
    <row r="41">
      <c r="L41" s="42"/>
    </row>
    <row r="42">
      <c r="L42" s="42"/>
    </row>
    <row r="43">
      <c r="L43" s="42"/>
    </row>
    <row r="44">
      <c r="L44" s="42"/>
    </row>
    <row r="45">
      <c r="L45" s="42"/>
    </row>
    <row r="46">
      <c r="L46" s="42"/>
    </row>
    <row r="47">
      <c r="L47" s="42"/>
    </row>
    <row r="48">
      <c r="L48" s="42"/>
    </row>
    <row r="49">
      <c r="L49" s="42"/>
    </row>
    <row r="50">
      <c r="L50" s="42"/>
    </row>
    <row r="51">
      <c r="L51" s="42"/>
    </row>
    <row r="52">
      <c r="L52" s="42"/>
    </row>
    <row r="53">
      <c r="L53" s="42"/>
    </row>
    <row r="54">
      <c r="L54" s="42"/>
    </row>
    <row r="55">
      <c r="L55" s="42"/>
    </row>
    <row r="56">
      <c r="L56" s="42"/>
    </row>
    <row r="57">
      <c r="L57" s="42"/>
    </row>
    <row r="58">
      <c r="L58" s="42"/>
    </row>
    <row r="59">
      <c r="L59" s="42"/>
    </row>
    <row r="60">
      <c r="L60" s="42"/>
    </row>
    <row r="61">
      <c r="L61" s="42"/>
    </row>
    <row r="62">
      <c r="L62" s="42"/>
    </row>
    <row r="63">
      <c r="L63" s="42"/>
    </row>
    <row r="64">
      <c r="L64" s="42"/>
    </row>
    <row r="65">
      <c r="L65" s="42"/>
    </row>
    <row r="66">
      <c r="L66" s="42"/>
    </row>
    <row r="67">
      <c r="L67" s="42"/>
    </row>
    <row r="68">
      <c r="L68" s="42"/>
    </row>
    <row r="69">
      <c r="L69" s="42"/>
    </row>
    <row r="70">
      <c r="L70" s="42"/>
    </row>
    <row r="71">
      <c r="L71" s="42"/>
    </row>
    <row r="72">
      <c r="L72" s="42"/>
    </row>
    <row r="73">
      <c r="L73" s="42"/>
    </row>
    <row r="74">
      <c r="L74" s="42"/>
    </row>
    <row r="75">
      <c r="L75" s="42"/>
    </row>
    <row r="76">
      <c r="L76" s="42"/>
    </row>
    <row r="77">
      <c r="L77" s="42"/>
    </row>
    <row r="78">
      <c r="L78" s="42"/>
    </row>
    <row r="79">
      <c r="L79" s="42"/>
    </row>
    <row r="80">
      <c r="L80" s="42"/>
    </row>
    <row r="81">
      <c r="L81" s="42"/>
    </row>
    <row r="82">
      <c r="L82" s="42"/>
    </row>
    <row r="83">
      <c r="L83" s="42"/>
    </row>
    <row r="84">
      <c r="L84" s="42"/>
    </row>
    <row r="85">
      <c r="L85" s="42"/>
    </row>
    <row r="86">
      <c r="L86" s="42"/>
    </row>
    <row r="87">
      <c r="L87" s="42"/>
    </row>
    <row r="88">
      <c r="L88" s="42"/>
    </row>
    <row r="89">
      <c r="L89" s="42"/>
    </row>
    <row r="90">
      <c r="L90" s="42"/>
    </row>
    <row r="91">
      <c r="L91" s="42"/>
    </row>
    <row r="92">
      <c r="L92" s="42"/>
    </row>
    <row r="93">
      <c r="L93" s="42"/>
    </row>
    <row r="94">
      <c r="L94" s="42"/>
    </row>
    <row r="95">
      <c r="L95" s="42"/>
    </row>
    <row r="96">
      <c r="L96" s="42"/>
    </row>
    <row r="97">
      <c r="L97" s="42"/>
    </row>
    <row r="98">
      <c r="L98" s="42"/>
    </row>
    <row r="99">
      <c r="L99" s="42"/>
    </row>
    <row r="100">
      <c r="L100" s="42"/>
    </row>
    <row r="101">
      <c r="L101" s="42"/>
    </row>
    <row r="102">
      <c r="L102" s="42"/>
    </row>
    <row r="103">
      <c r="L103" s="42"/>
    </row>
    <row r="104">
      <c r="L104" s="42"/>
    </row>
    <row r="105">
      <c r="L105" s="42"/>
    </row>
    <row r="106">
      <c r="L106" s="42"/>
    </row>
    <row r="107">
      <c r="L107" s="42"/>
    </row>
    <row r="108">
      <c r="L108" s="42"/>
    </row>
    <row r="109">
      <c r="L109" s="42"/>
    </row>
    <row r="110">
      <c r="L110" s="42"/>
    </row>
    <row r="111">
      <c r="L111" s="42"/>
    </row>
    <row r="112">
      <c r="L112" s="42"/>
    </row>
    <row r="113">
      <c r="L113" s="42"/>
    </row>
    <row r="114">
      <c r="L114" s="42"/>
    </row>
    <row r="115">
      <c r="L115" s="42"/>
    </row>
    <row r="116">
      <c r="L116" s="42"/>
    </row>
    <row r="117">
      <c r="L117" s="42"/>
    </row>
    <row r="118">
      <c r="L118" s="42"/>
    </row>
    <row r="119">
      <c r="L119" s="42"/>
    </row>
    <row r="120">
      <c r="L120" s="42"/>
    </row>
    <row r="121">
      <c r="L121" s="42"/>
    </row>
    <row r="122">
      <c r="L122" s="42"/>
    </row>
    <row r="123">
      <c r="L123" s="42"/>
    </row>
    <row r="124">
      <c r="L124" s="42"/>
    </row>
    <row r="125">
      <c r="L125" s="42"/>
    </row>
    <row r="126">
      <c r="L126" s="42"/>
    </row>
    <row r="127">
      <c r="L127" s="42"/>
    </row>
    <row r="128">
      <c r="L128" s="42"/>
    </row>
    <row r="129">
      <c r="L129" s="42"/>
    </row>
    <row r="130">
      <c r="L130" s="42"/>
    </row>
    <row r="131">
      <c r="L131" s="42"/>
    </row>
    <row r="132">
      <c r="L132" s="42"/>
    </row>
    <row r="133">
      <c r="L133" s="42"/>
    </row>
    <row r="134">
      <c r="L134" s="42"/>
    </row>
    <row r="135">
      <c r="L135" s="42"/>
    </row>
    <row r="136">
      <c r="L136" s="42"/>
    </row>
    <row r="137">
      <c r="L137" s="42"/>
    </row>
    <row r="138">
      <c r="L138" s="42"/>
    </row>
    <row r="139">
      <c r="L139" s="42"/>
    </row>
    <row r="140">
      <c r="L140" s="42"/>
    </row>
    <row r="141">
      <c r="L141" s="42"/>
    </row>
    <row r="142">
      <c r="L142" s="42"/>
    </row>
    <row r="143">
      <c r="L143" s="42"/>
    </row>
    <row r="144">
      <c r="L144" s="42"/>
    </row>
    <row r="145">
      <c r="L145" s="42"/>
    </row>
    <row r="146">
      <c r="L146" s="42"/>
    </row>
    <row r="147">
      <c r="L147" s="42"/>
    </row>
    <row r="148">
      <c r="L148" s="42"/>
    </row>
    <row r="149">
      <c r="L149" s="42"/>
    </row>
    <row r="150">
      <c r="L150" s="42"/>
    </row>
    <row r="151">
      <c r="L151" s="42"/>
    </row>
    <row r="152">
      <c r="L152" s="42"/>
    </row>
    <row r="153">
      <c r="L153" s="42"/>
    </row>
    <row r="154">
      <c r="L154" s="42"/>
    </row>
    <row r="155">
      <c r="L155" s="42"/>
    </row>
    <row r="156">
      <c r="L156" s="42"/>
    </row>
    <row r="157">
      <c r="L157" s="42"/>
    </row>
    <row r="158">
      <c r="L158" s="42"/>
    </row>
    <row r="159">
      <c r="L159" s="42"/>
    </row>
    <row r="160">
      <c r="L160" s="42"/>
    </row>
    <row r="161">
      <c r="L161" s="42"/>
    </row>
    <row r="162">
      <c r="L162" s="42"/>
    </row>
    <row r="163">
      <c r="L163" s="42"/>
    </row>
    <row r="164">
      <c r="L164" s="42"/>
    </row>
    <row r="165">
      <c r="L165" s="42"/>
    </row>
    <row r="166">
      <c r="L166" s="42"/>
    </row>
    <row r="167">
      <c r="L167" s="42"/>
    </row>
    <row r="168">
      <c r="L168" s="42"/>
    </row>
    <row r="169">
      <c r="L169" s="42"/>
    </row>
    <row r="170">
      <c r="L170" s="42"/>
    </row>
    <row r="171">
      <c r="L171" s="42"/>
    </row>
    <row r="172">
      <c r="L172" s="42"/>
    </row>
    <row r="173">
      <c r="L173" s="42"/>
    </row>
    <row r="174">
      <c r="L174" s="42"/>
    </row>
    <row r="175">
      <c r="L175" s="42"/>
    </row>
    <row r="176">
      <c r="L176" s="42"/>
    </row>
    <row r="177">
      <c r="L177" s="42"/>
    </row>
    <row r="178">
      <c r="L178" s="42"/>
    </row>
    <row r="179">
      <c r="L179" s="42"/>
    </row>
    <row r="180">
      <c r="L180" s="42"/>
    </row>
    <row r="181">
      <c r="L181" s="42"/>
    </row>
    <row r="182">
      <c r="L182" s="42"/>
    </row>
    <row r="183">
      <c r="L183" s="42"/>
    </row>
    <row r="184">
      <c r="L184" s="42"/>
    </row>
    <row r="185">
      <c r="L185" s="42"/>
    </row>
    <row r="186">
      <c r="L186" s="42"/>
    </row>
    <row r="187">
      <c r="L187" s="42"/>
    </row>
    <row r="188">
      <c r="L188" s="42"/>
    </row>
    <row r="189">
      <c r="L189" s="42"/>
    </row>
    <row r="190">
      <c r="L190" s="42"/>
    </row>
    <row r="191">
      <c r="L191" s="42"/>
    </row>
    <row r="192">
      <c r="L192" s="42"/>
    </row>
    <row r="193">
      <c r="L193" s="42"/>
    </row>
    <row r="194">
      <c r="L194" s="42"/>
    </row>
    <row r="195">
      <c r="L195" s="42"/>
    </row>
    <row r="196">
      <c r="L196" s="42"/>
    </row>
    <row r="197">
      <c r="L197" s="42"/>
    </row>
    <row r="198">
      <c r="L198" s="42"/>
    </row>
    <row r="199">
      <c r="L199" s="42"/>
    </row>
    <row r="200">
      <c r="L200" s="42"/>
    </row>
    <row r="201">
      <c r="L201" s="42"/>
    </row>
    <row r="202">
      <c r="L202" s="42"/>
    </row>
    <row r="203">
      <c r="L203" s="42"/>
    </row>
    <row r="204">
      <c r="L204" s="42"/>
    </row>
    <row r="205">
      <c r="L205" s="42"/>
    </row>
    <row r="206">
      <c r="L206" s="42"/>
    </row>
    <row r="207">
      <c r="L207" s="42"/>
    </row>
    <row r="208">
      <c r="L208" s="42"/>
    </row>
    <row r="209">
      <c r="L209" s="42"/>
    </row>
    <row r="210">
      <c r="L210" s="42"/>
    </row>
    <row r="211">
      <c r="L211" s="42"/>
    </row>
    <row r="212">
      <c r="L212" s="42"/>
    </row>
    <row r="213">
      <c r="L213" s="42"/>
    </row>
    <row r="214">
      <c r="L214" s="42"/>
    </row>
    <row r="215">
      <c r="L215" s="42"/>
    </row>
    <row r="216">
      <c r="L216" s="42"/>
    </row>
    <row r="217">
      <c r="L217" s="42"/>
    </row>
    <row r="218">
      <c r="L218" s="42"/>
    </row>
    <row r="219">
      <c r="L219" s="42"/>
    </row>
    <row r="220">
      <c r="L220" s="42"/>
    </row>
    <row r="221">
      <c r="L221" s="42"/>
    </row>
    <row r="222">
      <c r="L222" s="42"/>
    </row>
    <row r="223">
      <c r="L223" s="42"/>
    </row>
    <row r="224">
      <c r="L224" s="42"/>
    </row>
    <row r="225">
      <c r="L225" s="42"/>
    </row>
    <row r="226">
      <c r="L226" s="42"/>
    </row>
    <row r="227">
      <c r="L227" s="42"/>
    </row>
    <row r="228">
      <c r="L228" s="42"/>
    </row>
    <row r="229">
      <c r="L229" s="42"/>
    </row>
    <row r="230">
      <c r="L230" s="42"/>
    </row>
    <row r="231">
      <c r="L231" s="42"/>
    </row>
    <row r="232">
      <c r="L232" s="42"/>
    </row>
    <row r="233">
      <c r="L233" s="42"/>
    </row>
    <row r="234">
      <c r="L234" s="42"/>
    </row>
    <row r="235">
      <c r="L235" s="42"/>
    </row>
    <row r="236">
      <c r="L236" s="42"/>
    </row>
    <row r="237">
      <c r="L237" s="42"/>
    </row>
    <row r="238">
      <c r="L238" s="42"/>
    </row>
    <row r="239">
      <c r="L239" s="42"/>
    </row>
    <row r="240">
      <c r="L240" s="42"/>
    </row>
    <row r="241">
      <c r="L241" s="42"/>
    </row>
    <row r="242">
      <c r="L242" s="42"/>
    </row>
    <row r="243">
      <c r="L243" s="42"/>
    </row>
    <row r="244">
      <c r="L244" s="42"/>
    </row>
    <row r="245">
      <c r="L245" s="42"/>
    </row>
    <row r="246">
      <c r="L246" s="42"/>
    </row>
    <row r="247">
      <c r="L247" s="42"/>
    </row>
    <row r="248">
      <c r="L248" s="42"/>
    </row>
    <row r="249">
      <c r="L249" s="42"/>
    </row>
    <row r="250">
      <c r="L250" s="42"/>
    </row>
    <row r="251">
      <c r="L251" s="42"/>
    </row>
    <row r="252">
      <c r="L252" s="42"/>
    </row>
    <row r="253">
      <c r="L253" s="42"/>
    </row>
    <row r="254">
      <c r="L254" s="42"/>
    </row>
    <row r="255">
      <c r="L255" s="42"/>
    </row>
    <row r="256">
      <c r="L256" s="42"/>
    </row>
    <row r="257">
      <c r="L257" s="42"/>
    </row>
    <row r="258">
      <c r="L258" s="42"/>
    </row>
    <row r="259">
      <c r="L259" s="42"/>
    </row>
    <row r="260">
      <c r="L260" s="42"/>
    </row>
    <row r="261">
      <c r="L261" s="42"/>
    </row>
    <row r="262">
      <c r="L262" s="42"/>
    </row>
    <row r="263">
      <c r="L263" s="42"/>
    </row>
    <row r="264">
      <c r="L264" s="42"/>
    </row>
    <row r="265">
      <c r="L265" s="42"/>
    </row>
    <row r="266">
      <c r="L266" s="42"/>
    </row>
    <row r="267">
      <c r="L267" s="42"/>
    </row>
    <row r="268">
      <c r="L268" s="42"/>
    </row>
    <row r="269">
      <c r="L269" s="42"/>
    </row>
    <row r="270">
      <c r="L270" s="42"/>
    </row>
    <row r="271">
      <c r="L271" s="42"/>
    </row>
    <row r="272">
      <c r="L272" s="42"/>
    </row>
    <row r="273">
      <c r="L273" s="42"/>
    </row>
    <row r="274">
      <c r="L274" s="42"/>
    </row>
    <row r="275">
      <c r="L275" s="42"/>
    </row>
    <row r="276">
      <c r="L276" s="42"/>
    </row>
    <row r="277">
      <c r="L277" s="42"/>
    </row>
    <row r="278">
      <c r="L278" s="42"/>
    </row>
    <row r="279">
      <c r="L279" s="42"/>
    </row>
    <row r="280">
      <c r="L280" s="42"/>
    </row>
    <row r="281">
      <c r="L281" s="42"/>
    </row>
    <row r="282">
      <c r="L282" s="42"/>
    </row>
    <row r="283">
      <c r="L283" s="42"/>
    </row>
    <row r="284">
      <c r="L284" s="42"/>
    </row>
    <row r="285">
      <c r="L285" s="42"/>
    </row>
    <row r="286">
      <c r="L286" s="42"/>
    </row>
    <row r="287">
      <c r="L287" s="42"/>
    </row>
    <row r="288">
      <c r="L288" s="42"/>
    </row>
    <row r="289">
      <c r="L289" s="42"/>
    </row>
    <row r="290">
      <c r="L290" s="42"/>
    </row>
    <row r="291">
      <c r="L291" s="42"/>
    </row>
    <row r="292">
      <c r="L292" s="42"/>
    </row>
    <row r="293">
      <c r="L293" s="42"/>
    </row>
    <row r="294">
      <c r="L294" s="42"/>
    </row>
    <row r="295">
      <c r="L295" s="42"/>
    </row>
    <row r="296">
      <c r="L296" s="42"/>
    </row>
    <row r="297">
      <c r="L297" s="42"/>
    </row>
    <row r="298">
      <c r="L298" s="42"/>
    </row>
    <row r="299">
      <c r="L299" s="42"/>
    </row>
    <row r="300">
      <c r="L300" s="42"/>
    </row>
  </sheetData>
  <mergeCells count="5">
    <mergeCell ref="A2:O2"/>
    <mergeCell ref="A4:K4"/>
    <mergeCell ref="M4:P4"/>
    <mergeCell ref="A16:K16"/>
    <mergeCell ref="M16:P16"/>
  </mergeCells>
  <conditionalFormatting sqref="M16:P16">
    <cfRule type="cellIs" dxfId="0" priority="1" stopIfTrue="1" operator="greaterThan">
      <formula>0</formula>
    </cfRule>
  </conditionalFormatting>
  <conditionalFormatting sqref="M16:P16">
    <cfRule type="cellIs" dxfId="1" priority="2" stopIfTrue="1" operator="lessThanOrEqual">
      <formula>0</formula>
    </cfRule>
  </conditionalFormatting>
  <hyperlinks>
    <hyperlink display="◀ Master" location="Master!A1" ref="P2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2.63"/>
    <col customWidth="1" min="2" max="2" width="11.38"/>
    <col customWidth="1" min="3" max="3" width="11.13"/>
    <col customWidth="1" min="4" max="4" width="22.63"/>
    <col customWidth="1" min="5" max="5" width="10.13"/>
    <col customWidth="1" min="6" max="6" width="9.63"/>
    <col customWidth="1" min="7" max="7" width="13.63"/>
    <col customWidth="1" min="8" max="8" width="11.88"/>
    <col customWidth="1" min="9" max="9" width="7.63"/>
    <col customWidth="1" min="10" max="10" width="10.88"/>
    <col customWidth="1" min="11" max="11" width="15.38"/>
    <col customWidth="1" min="12" max="12" width="1.38"/>
    <col customWidth="1" min="13" max="13" width="12.63"/>
    <col customWidth="1" min="14" max="14" width="14.5"/>
    <col customWidth="1" min="15" max="15" width="10.38"/>
    <col customWidth="1" min="16" max="16" width="26.38"/>
  </cols>
  <sheetData>
    <row r="1" ht="6.0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4"/>
      <c r="M1" s="33"/>
      <c r="N1" s="33"/>
      <c r="O1" s="33"/>
      <c r="P1" s="33"/>
    </row>
    <row r="2" ht="33.0" customHeight="1">
      <c r="A2" s="35" t="s">
        <v>58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7" t="s">
        <v>25</v>
      </c>
    </row>
    <row r="3" ht="7.5" customHeight="1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4"/>
      <c r="M3" s="33"/>
      <c r="N3" s="33"/>
      <c r="O3" s="33"/>
      <c r="P3" s="33"/>
    </row>
    <row r="4" ht="16.5" customHeight="1">
      <c r="A4" s="38" t="s">
        <v>26</v>
      </c>
      <c r="L4" s="34"/>
      <c r="M4" s="39" t="s">
        <v>27</v>
      </c>
    </row>
    <row r="5" ht="21.0" customHeight="1">
      <c r="A5" s="40" t="s">
        <v>28</v>
      </c>
      <c r="B5" s="40" t="s">
        <v>29</v>
      </c>
      <c r="C5" s="40" t="s">
        <v>30</v>
      </c>
      <c r="D5" s="40" t="s">
        <v>31</v>
      </c>
      <c r="E5" s="40" t="s">
        <v>32</v>
      </c>
      <c r="F5" s="40" t="s">
        <v>33</v>
      </c>
      <c r="G5" s="40" t="s">
        <v>34</v>
      </c>
      <c r="H5" s="40" t="s">
        <v>35</v>
      </c>
      <c r="I5" s="40" t="s">
        <v>36</v>
      </c>
      <c r="J5" s="40" t="s">
        <v>37</v>
      </c>
      <c r="K5" s="41" t="s">
        <v>38</v>
      </c>
      <c r="L5" s="42"/>
      <c r="M5" s="43" t="s">
        <v>28</v>
      </c>
      <c r="N5" s="44" t="s">
        <v>34</v>
      </c>
      <c r="O5" s="44" t="s">
        <v>39</v>
      </c>
      <c r="P5" s="44" t="s">
        <v>40</v>
      </c>
    </row>
    <row r="6" ht="18.75" customHeight="1">
      <c r="A6" s="45">
        <v>46031.0</v>
      </c>
      <c r="B6" s="46" t="s">
        <v>59</v>
      </c>
      <c r="C6" s="47">
        <v>695.0</v>
      </c>
      <c r="D6" s="48" t="s">
        <v>54</v>
      </c>
      <c r="E6" s="49">
        <v>120.0</v>
      </c>
      <c r="F6" s="49">
        <v>822.0</v>
      </c>
      <c r="G6" s="49">
        <v>98640.0</v>
      </c>
      <c r="H6" s="49">
        <v>1500.0</v>
      </c>
      <c r="I6" s="50"/>
      <c r="J6" s="50"/>
      <c r="K6" s="50">
        <f t="shared" ref="K6:K8" si="1">G6+H6+J6</f>
        <v>100140</v>
      </c>
      <c r="L6" s="42"/>
      <c r="M6" s="51" t="s">
        <v>2</v>
      </c>
      <c r="N6" s="52">
        <v>180000.0</v>
      </c>
      <c r="O6" s="53"/>
      <c r="P6" s="54"/>
    </row>
    <row r="7" ht="18.75" customHeight="1">
      <c r="A7" s="55">
        <v>46092.0</v>
      </c>
      <c r="B7" s="56" t="s">
        <v>60</v>
      </c>
      <c r="C7" s="57">
        <v>752.0</v>
      </c>
      <c r="D7" s="58" t="s">
        <v>42</v>
      </c>
      <c r="E7" s="59">
        <v>300.0</v>
      </c>
      <c r="F7" s="59">
        <v>862.0</v>
      </c>
      <c r="G7" s="59">
        <v>258600.0</v>
      </c>
      <c r="H7" s="59">
        <v>2500.0</v>
      </c>
      <c r="I7" s="60"/>
      <c r="J7" s="60"/>
      <c r="K7" s="60">
        <f t="shared" si="1"/>
        <v>261100</v>
      </c>
      <c r="L7" s="42"/>
      <c r="M7" s="61">
        <v>46037.0</v>
      </c>
      <c r="N7" s="62">
        <v>25000.0</v>
      </c>
      <c r="O7" s="63" t="s">
        <v>49</v>
      </c>
      <c r="P7" s="64" t="s">
        <v>61</v>
      </c>
    </row>
    <row r="8" ht="18.75" customHeight="1">
      <c r="A8" s="65">
        <v>46105.0</v>
      </c>
      <c r="B8" s="66" t="s">
        <v>62</v>
      </c>
      <c r="C8" s="67">
        <v>695.0</v>
      </c>
      <c r="D8" s="68" t="s">
        <v>42</v>
      </c>
      <c r="E8" s="69">
        <v>250.0</v>
      </c>
      <c r="F8" s="69">
        <v>805.0</v>
      </c>
      <c r="G8" s="69">
        <v>201250.0</v>
      </c>
      <c r="H8" s="69">
        <v>1800.0</v>
      </c>
      <c r="I8" s="70"/>
      <c r="J8" s="70"/>
      <c r="K8" s="70">
        <f t="shared" si="1"/>
        <v>203050</v>
      </c>
      <c r="L8" s="42"/>
      <c r="M8" s="71">
        <v>46093.0</v>
      </c>
      <c r="N8" s="72">
        <v>50000.0</v>
      </c>
      <c r="O8" s="73" t="s">
        <v>49</v>
      </c>
      <c r="P8" s="74" t="s">
        <v>63</v>
      </c>
    </row>
    <row r="9" ht="18.75" customHeight="1">
      <c r="A9" s="75">
        <v>46137.0</v>
      </c>
      <c r="B9" s="76" t="s">
        <v>64</v>
      </c>
      <c r="C9" s="77">
        <v>754.0</v>
      </c>
      <c r="D9" s="78" t="s">
        <v>54</v>
      </c>
      <c r="E9" s="79">
        <v>160.0</v>
      </c>
      <c r="F9" s="79">
        <v>838.0</v>
      </c>
      <c r="G9" s="79">
        <v>134080.0</v>
      </c>
      <c r="H9" s="79">
        <v>1800.0</v>
      </c>
      <c r="I9" s="93"/>
      <c r="J9" s="93"/>
      <c r="K9" s="80"/>
      <c r="L9" s="42"/>
      <c r="M9" s="61">
        <v>46150.0</v>
      </c>
      <c r="N9" s="62">
        <v>122222.0</v>
      </c>
      <c r="O9" s="63" t="s">
        <v>65</v>
      </c>
      <c r="P9" s="94"/>
    </row>
    <row r="10" ht="18.75" customHeight="1">
      <c r="A10" s="82"/>
      <c r="B10" s="83"/>
      <c r="C10" s="83"/>
      <c r="D10" s="48" t="s">
        <v>42</v>
      </c>
      <c r="E10" s="49">
        <v>90.0</v>
      </c>
      <c r="F10" s="49">
        <v>846.0</v>
      </c>
      <c r="G10" s="49">
        <v>76140.0</v>
      </c>
      <c r="H10" s="50"/>
      <c r="I10" s="50"/>
      <c r="J10" s="50"/>
      <c r="K10" s="50">
        <f>SUM(G9:G10)+SUM(H9:H10)+SUM(J9:J10)</f>
        <v>212020</v>
      </c>
      <c r="L10" s="42"/>
      <c r="M10" s="42"/>
      <c r="N10" s="42"/>
      <c r="O10" s="42"/>
      <c r="P10" s="42"/>
    </row>
    <row r="11">
      <c r="L11" s="42"/>
    </row>
    <row r="12" ht="21.0" customHeight="1">
      <c r="A12" s="84" t="s">
        <v>55</v>
      </c>
      <c r="B12" s="85">
        <f>IFERROR(COUNTIF(K6:K10,"&gt;0"),0)</f>
        <v>4</v>
      </c>
      <c r="C12" s="86"/>
      <c r="D12" s="86"/>
      <c r="E12" s="85">
        <f>IFERROR(SUM(E6:E10),0)</f>
        <v>920</v>
      </c>
      <c r="F12" s="86"/>
      <c r="G12" s="85">
        <f t="shared" ref="G12:H12" si="2">IFERROR(SUM(G6:G10),0)</f>
        <v>768710</v>
      </c>
      <c r="H12" s="85">
        <f t="shared" si="2"/>
        <v>7600</v>
      </c>
      <c r="I12" s="86"/>
      <c r="J12" s="86"/>
      <c r="K12" s="85">
        <f>IFERROR(SUM(K6:K10),0)</f>
        <v>776310</v>
      </c>
      <c r="L12" s="42"/>
      <c r="M12" s="87" t="s">
        <v>56</v>
      </c>
      <c r="N12" s="85">
        <f>IFERROR(SUM(N7:N9),0)</f>
        <v>197222</v>
      </c>
      <c r="O12" s="88"/>
      <c r="P12" s="89"/>
    </row>
    <row r="13">
      <c r="L13" s="42"/>
    </row>
    <row r="14" ht="30.0" customHeight="1">
      <c r="A14" s="90" t="s">
        <v>57</v>
      </c>
      <c r="B14" s="36"/>
      <c r="C14" s="36"/>
      <c r="D14" s="36"/>
      <c r="E14" s="36"/>
      <c r="F14" s="36"/>
      <c r="G14" s="36"/>
      <c r="H14" s="36"/>
      <c r="I14" s="36"/>
      <c r="J14" s="36"/>
      <c r="K14" s="91"/>
      <c r="L14" s="42"/>
      <c r="M14" s="92">
        <f>N6+K12-N12</f>
        <v>759088</v>
      </c>
      <c r="N14" s="36"/>
      <c r="O14" s="36"/>
      <c r="P14" s="91"/>
    </row>
    <row r="15">
      <c r="L15" s="42"/>
    </row>
    <row r="16">
      <c r="L16" s="42"/>
    </row>
    <row r="17">
      <c r="L17" s="42"/>
    </row>
    <row r="18">
      <c r="L18" s="42"/>
    </row>
    <row r="19">
      <c r="L19" s="42"/>
    </row>
    <row r="20">
      <c r="L20" s="42"/>
    </row>
    <row r="21">
      <c r="L21" s="42"/>
    </row>
    <row r="22">
      <c r="L22" s="42"/>
    </row>
    <row r="23">
      <c r="L23" s="42"/>
    </row>
    <row r="24">
      <c r="L24" s="42"/>
    </row>
    <row r="25">
      <c r="L25" s="42"/>
    </row>
    <row r="26">
      <c r="L26" s="42"/>
    </row>
    <row r="27">
      <c r="L27" s="42"/>
    </row>
    <row r="28">
      <c r="L28" s="42"/>
    </row>
    <row r="29">
      <c r="L29" s="42"/>
    </row>
    <row r="30">
      <c r="L30" s="42"/>
    </row>
    <row r="31">
      <c r="L31" s="42"/>
    </row>
    <row r="32">
      <c r="L32" s="42"/>
    </row>
    <row r="33">
      <c r="L33" s="42"/>
    </row>
    <row r="34">
      <c r="L34" s="42"/>
    </row>
    <row r="35">
      <c r="L35" s="42"/>
    </row>
    <row r="36">
      <c r="L36" s="42"/>
    </row>
    <row r="37">
      <c r="L37" s="42"/>
    </row>
    <row r="38">
      <c r="L38" s="42"/>
    </row>
    <row r="39">
      <c r="L39" s="42"/>
    </row>
    <row r="40">
      <c r="L40" s="42"/>
    </row>
    <row r="41">
      <c r="L41" s="42"/>
    </row>
    <row r="42">
      <c r="L42" s="42"/>
    </row>
    <row r="43">
      <c r="L43" s="42"/>
    </row>
    <row r="44">
      <c r="L44" s="42"/>
    </row>
    <row r="45">
      <c r="L45" s="42"/>
    </row>
    <row r="46">
      <c r="L46" s="42"/>
    </row>
    <row r="47">
      <c r="L47" s="42"/>
    </row>
    <row r="48">
      <c r="L48" s="42"/>
    </row>
    <row r="49">
      <c r="L49" s="42"/>
    </row>
    <row r="50">
      <c r="L50" s="42"/>
    </row>
    <row r="51">
      <c r="L51" s="42"/>
    </row>
    <row r="52">
      <c r="L52" s="42"/>
    </row>
    <row r="53">
      <c r="L53" s="42"/>
    </row>
    <row r="54">
      <c r="L54" s="42"/>
    </row>
    <row r="55">
      <c r="L55" s="42"/>
    </row>
    <row r="56">
      <c r="L56" s="42"/>
    </row>
    <row r="57">
      <c r="L57" s="42"/>
    </row>
    <row r="58">
      <c r="L58" s="42"/>
    </row>
    <row r="59">
      <c r="L59" s="42"/>
    </row>
    <row r="60">
      <c r="L60" s="42"/>
    </row>
    <row r="61">
      <c r="L61" s="42"/>
    </row>
    <row r="62">
      <c r="L62" s="42"/>
    </row>
    <row r="63">
      <c r="L63" s="42"/>
    </row>
    <row r="64">
      <c r="L64" s="42"/>
    </row>
    <row r="65">
      <c r="L65" s="42"/>
    </row>
    <row r="66">
      <c r="L66" s="42"/>
    </row>
    <row r="67">
      <c r="L67" s="42"/>
    </row>
    <row r="68">
      <c r="L68" s="42"/>
    </row>
    <row r="69">
      <c r="L69" s="42"/>
    </row>
    <row r="70">
      <c r="L70" s="42"/>
    </row>
    <row r="71">
      <c r="L71" s="42"/>
    </row>
    <row r="72">
      <c r="L72" s="42"/>
    </row>
    <row r="73">
      <c r="L73" s="42"/>
    </row>
    <row r="74">
      <c r="L74" s="42"/>
    </row>
    <row r="75">
      <c r="L75" s="42"/>
    </row>
    <row r="76">
      <c r="L76" s="42"/>
    </row>
    <row r="77">
      <c r="L77" s="42"/>
    </row>
    <row r="78">
      <c r="L78" s="42"/>
    </row>
    <row r="79">
      <c r="L79" s="42"/>
    </row>
    <row r="80">
      <c r="L80" s="42"/>
    </row>
    <row r="81">
      <c r="L81" s="42"/>
    </row>
    <row r="82">
      <c r="L82" s="42"/>
    </row>
    <row r="83">
      <c r="L83" s="42"/>
    </row>
    <row r="84">
      <c r="L84" s="42"/>
    </row>
    <row r="85">
      <c r="L85" s="42"/>
    </row>
    <row r="86">
      <c r="L86" s="42"/>
    </row>
    <row r="87">
      <c r="L87" s="42"/>
    </row>
    <row r="88">
      <c r="L88" s="42"/>
    </row>
    <row r="89">
      <c r="L89" s="42"/>
    </row>
    <row r="90">
      <c r="L90" s="42"/>
    </row>
    <row r="91">
      <c r="L91" s="42"/>
    </row>
    <row r="92">
      <c r="L92" s="42"/>
    </row>
    <row r="93">
      <c r="L93" s="42"/>
    </row>
    <row r="94">
      <c r="L94" s="42"/>
    </row>
    <row r="95">
      <c r="L95" s="42"/>
    </row>
    <row r="96">
      <c r="L96" s="42"/>
    </row>
    <row r="97">
      <c r="L97" s="42"/>
    </row>
    <row r="98">
      <c r="L98" s="42"/>
    </row>
    <row r="99">
      <c r="L99" s="42"/>
    </row>
    <row r="100">
      <c r="L100" s="42"/>
    </row>
    <row r="101">
      <c r="L101" s="42"/>
    </row>
    <row r="102">
      <c r="L102" s="42"/>
    </row>
    <row r="103">
      <c r="L103" s="42"/>
    </row>
    <row r="104">
      <c r="L104" s="42"/>
    </row>
    <row r="105">
      <c r="L105" s="42"/>
    </row>
    <row r="106">
      <c r="L106" s="42"/>
    </row>
    <row r="107">
      <c r="L107" s="42"/>
    </row>
    <row r="108">
      <c r="L108" s="42"/>
    </row>
    <row r="109">
      <c r="L109" s="42"/>
    </row>
    <row r="110">
      <c r="L110" s="42"/>
    </row>
    <row r="111">
      <c r="L111" s="42"/>
    </row>
    <row r="112">
      <c r="L112" s="42"/>
    </row>
    <row r="113">
      <c r="L113" s="42"/>
    </row>
    <row r="114">
      <c r="L114" s="42"/>
    </row>
    <row r="115">
      <c r="L115" s="42"/>
    </row>
    <row r="116">
      <c r="L116" s="42"/>
    </row>
    <row r="117">
      <c r="L117" s="42"/>
    </row>
    <row r="118">
      <c r="L118" s="42"/>
    </row>
    <row r="119">
      <c r="L119" s="42"/>
    </row>
    <row r="120">
      <c r="L120" s="42"/>
    </row>
    <row r="121">
      <c r="L121" s="42"/>
    </row>
    <row r="122">
      <c r="L122" s="42"/>
    </row>
    <row r="123">
      <c r="L123" s="42"/>
    </row>
    <row r="124">
      <c r="L124" s="42"/>
    </row>
    <row r="125">
      <c r="L125" s="42"/>
    </row>
    <row r="126">
      <c r="L126" s="42"/>
    </row>
    <row r="127">
      <c r="L127" s="42"/>
    </row>
    <row r="128">
      <c r="L128" s="42"/>
    </row>
    <row r="129">
      <c r="L129" s="42"/>
    </row>
    <row r="130">
      <c r="L130" s="42"/>
    </row>
    <row r="131">
      <c r="L131" s="42"/>
    </row>
    <row r="132">
      <c r="L132" s="42"/>
    </row>
    <row r="133">
      <c r="L133" s="42"/>
    </row>
    <row r="134">
      <c r="L134" s="42"/>
    </row>
    <row r="135">
      <c r="L135" s="42"/>
    </row>
    <row r="136">
      <c r="L136" s="42"/>
    </row>
    <row r="137">
      <c r="L137" s="42"/>
    </row>
    <row r="138">
      <c r="L138" s="42"/>
    </row>
    <row r="139">
      <c r="L139" s="42"/>
    </row>
    <row r="140">
      <c r="L140" s="42"/>
    </row>
    <row r="141">
      <c r="L141" s="42"/>
    </row>
    <row r="142">
      <c r="L142" s="42"/>
    </row>
    <row r="143">
      <c r="L143" s="42"/>
    </row>
    <row r="144">
      <c r="L144" s="42"/>
    </row>
    <row r="145">
      <c r="L145" s="42"/>
    </row>
    <row r="146">
      <c r="L146" s="42"/>
    </row>
    <row r="147">
      <c r="L147" s="42"/>
    </row>
    <row r="148">
      <c r="L148" s="42"/>
    </row>
    <row r="149">
      <c r="L149" s="42"/>
    </row>
    <row r="150">
      <c r="L150" s="42"/>
    </row>
    <row r="151">
      <c r="L151" s="42"/>
    </row>
    <row r="152">
      <c r="L152" s="42"/>
    </row>
    <row r="153">
      <c r="L153" s="42"/>
    </row>
    <row r="154">
      <c r="L154" s="42"/>
    </row>
    <row r="155">
      <c r="L155" s="42"/>
    </row>
    <row r="156">
      <c r="L156" s="42"/>
    </row>
    <row r="157">
      <c r="L157" s="42"/>
    </row>
    <row r="158">
      <c r="L158" s="42"/>
    </row>
    <row r="159">
      <c r="L159" s="42"/>
    </row>
    <row r="160">
      <c r="L160" s="42"/>
    </row>
    <row r="161">
      <c r="L161" s="42"/>
    </row>
    <row r="162">
      <c r="L162" s="42"/>
    </row>
    <row r="163">
      <c r="L163" s="42"/>
    </row>
    <row r="164">
      <c r="L164" s="42"/>
    </row>
    <row r="165">
      <c r="L165" s="42"/>
    </row>
    <row r="166">
      <c r="L166" s="42"/>
    </row>
    <row r="167">
      <c r="L167" s="42"/>
    </row>
    <row r="168">
      <c r="L168" s="42"/>
    </row>
    <row r="169">
      <c r="L169" s="42"/>
    </row>
    <row r="170">
      <c r="L170" s="42"/>
    </row>
    <row r="171">
      <c r="L171" s="42"/>
    </row>
    <row r="172">
      <c r="L172" s="42"/>
    </row>
    <row r="173">
      <c r="L173" s="42"/>
    </row>
    <row r="174">
      <c r="L174" s="42"/>
    </row>
    <row r="175">
      <c r="L175" s="42"/>
    </row>
    <row r="176">
      <c r="L176" s="42"/>
    </row>
    <row r="177">
      <c r="L177" s="42"/>
    </row>
    <row r="178">
      <c r="L178" s="42"/>
    </row>
    <row r="179">
      <c r="L179" s="42"/>
    </row>
    <row r="180">
      <c r="L180" s="42"/>
    </row>
    <row r="181">
      <c r="L181" s="42"/>
    </row>
    <row r="182">
      <c r="L182" s="42"/>
    </row>
    <row r="183">
      <c r="L183" s="42"/>
    </row>
    <row r="184">
      <c r="L184" s="42"/>
    </row>
    <row r="185">
      <c r="L185" s="42"/>
    </row>
    <row r="186">
      <c r="L186" s="42"/>
    </row>
    <row r="187">
      <c r="L187" s="42"/>
    </row>
    <row r="188">
      <c r="L188" s="42"/>
    </row>
    <row r="189">
      <c r="L189" s="42"/>
    </row>
    <row r="190">
      <c r="L190" s="42"/>
    </row>
    <row r="191">
      <c r="L191" s="42"/>
    </row>
    <row r="192">
      <c r="L192" s="42"/>
    </row>
    <row r="193">
      <c r="L193" s="42"/>
    </row>
    <row r="194">
      <c r="L194" s="42"/>
    </row>
    <row r="195">
      <c r="L195" s="42"/>
    </row>
    <row r="196">
      <c r="L196" s="42"/>
    </row>
    <row r="197">
      <c r="L197" s="42"/>
    </row>
    <row r="198">
      <c r="L198" s="42"/>
    </row>
    <row r="199">
      <c r="L199" s="42"/>
    </row>
    <row r="200">
      <c r="L200" s="42"/>
    </row>
    <row r="201">
      <c r="L201" s="42"/>
    </row>
    <row r="202">
      <c r="L202" s="42"/>
    </row>
    <row r="203">
      <c r="L203" s="42"/>
    </row>
    <row r="204">
      <c r="L204" s="42"/>
    </row>
    <row r="205">
      <c r="L205" s="42"/>
    </row>
    <row r="206">
      <c r="L206" s="42"/>
    </row>
    <row r="207">
      <c r="L207" s="42"/>
    </row>
    <row r="208">
      <c r="L208" s="42"/>
    </row>
    <row r="209">
      <c r="L209" s="42"/>
    </row>
    <row r="210">
      <c r="L210" s="42"/>
    </row>
    <row r="211">
      <c r="L211" s="42"/>
    </row>
    <row r="212">
      <c r="L212" s="42"/>
    </row>
    <row r="213">
      <c r="L213" s="42"/>
    </row>
    <row r="214">
      <c r="L214" s="42"/>
    </row>
    <row r="215">
      <c r="L215" s="42"/>
    </row>
    <row r="216">
      <c r="L216" s="42"/>
    </row>
    <row r="217">
      <c r="L217" s="42"/>
    </row>
    <row r="218">
      <c r="L218" s="42"/>
    </row>
    <row r="219">
      <c r="L219" s="42"/>
    </row>
    <row r="220">
      <c r="L220" s="42"/>
    </row>
    <row r="221">
      <c r="L221" s="42"/>
    </row>
    <row r="222">
      <c r="L222" s="42"/>
    </row>
    <row r="223">
      <c r="L223" s="42"/>
    </row>
    <row r="224">
      <c r="L224" s="42"/>
    </row>
    <row r="225">
      <c r="L225" s="42"/>
    </row>
    <row r="226">
      <c r="L226" s="42"/>
    </row>
    <row r="227">
      <c r="L227" s="42"/>
    </row>
    <row r="228">
      <c r="L228" s="42"/>
    </row>
    <row r="229">
      <c r="L229" s="42"/>
    </row>
    <row r="230">
      <c r="L230" s="42"/>
    </row>
    <row r="231">
      <c r="L231" s="42"/>
    </row>
    <row r="232">
      <c r="L232" s="42"/>
    </row>
    <row r="233">
      <c r="L233" s="42"/>
    </row>
    <row r="234">
      <c r="L234" s="42"/>
    </row>
    <row r="235">
      <c r="L235" s="42"/>
    </row>
    <row r="236">
      <c r="L236" s="42"/>
    </row>
    <row r="237">
      <c r="L237" s="42"/>
    </row>
    <row r="238">
      <c r="L238" s="42"/>
    </row>
    <row r="239">
      <c r="L239" s="42"/>
    </row>
    <row r="240">
      <c r="L240" s="42"/>
    </row>
    <row r="241">
      <c r="L241" s="42"/>
    </row>
    <row r="242">
      <c r="L242" s="42"/>
    </row>
    <row r="243">
      <c r="L243" s="42"/>
    </row>
    <row r="244">
      <c r="L244" s="42"/>
    </row>
    <row r="245">
      <c r="L245" s="42"/>
    </row>
    <row r="246">
      <c r="L246" s="42"/>
    </row>
    <row r="247">
      <c r="L247" s="42"/>
    </row>
    <row r="248">
      <c r="L248" s="42"/>
    </row>
    <row r="249">
      <c r="L249" s="42"/>
    </row>
    <row r="250">
      <c r="L250" s="42"/>
    </row>
    <row r="251">
      <c r="L251" s="42"/>
    </row>
    <row r="252">
      <c r="L252" s="42"/>
    </row>
    <row r="253">
      <c r="L253" s="42"/>
    </row>
    <row r="254">
      <c r="L254" s="42"/>
    </row>
    <row r="255">
      <c r="L255" s="42"/>
    </row>
    <row r="256">
      <c r="L256" s="42"/>
    </row>
    <row r="257">
      <c r="L257" s="42"/>
    </row>
    <row r="258">
      <c r="L258" s="42"/>
    </row>
    <row r="259">
      <c r="L259" s="42"/>
    </row>
    <row r="260">
      <c r="L260" s="42"/>
    </row>
    <row r="261">
      <c r="L261" s="42"/>
    </row>
    <row r="262">
      <c r="L262" s="42"/>
    </row>
    <row r="263">
      <c r="L263" s="42"/>
    </row>
    <row r="264">
      <c r="L264" s="42"/>
    </row>
    <row r="265">
      <c r="L265" s="42"/>
    </row>
    <row r="266">
      <c r="L266" s="42"/>
    </row>
    <row r="267">
      <c r="L267" s="42"/>
    </row>
    <row r="268">
      <c r="L268" s="42"/>
    </row>
    <row r="269">
      <c r="L269" s="42"/>
    </row>
    <row r="270">
      <c r="L270" s="42"/>
    </row>
    <row r="271">
      <c r="L271" s="42"/>
    </row>
    <row r="272">
      <c r="L272" s="42"/>
    </row>
    <row r="273">
      <c r="L273" s="42"/>
    </row>
    <row r="274">
      <c r="L274" s="42"/>
    </row>
    <row r="275">
      <c r="L275" s="42"/>
    </row>
    <row r="276">
      <c r="L276" s="42"/>
    </row>
    <row r="277">
      <c r="L277" s="42"/>
    </row>
    <row r="278">
      <c r="L278" s="42"/>
    </row>
    <row r="279">
      <c r="L279" s="42"/>
    </row>
    <row r="280">
      <c r="L280" s="42"/>
    </row>
    <row r="281">
      <c r="L281" s="42"/>
    </row>
    <row r="282">
      <c r="L282" s="42"/>
    </row>
    <row r="283">
      <c r="L283" s="42"/>
    </row>
    <row r="284">
      <c r="L284" s="42"/>
    </row>
    <row r="285">
      <c r="L285" s="42"/>
    </row>
    <row r="286">
      <c r="L286" s="42"/>
    </row>
    <row r="287">
      <c r="L287" s="42"/>
    </row>
    <row r="288">
      <c r="L288" s="42"/>
    </row>
    <row r="289">
      <c r="L289" s="42"/>
    </row>
    <row r="290">
      <c r="L290" s="42"/>
    </row>
    <row r="291">
      <c r="L291" s="42"/>
    </row>
    <row r="292">
      <c r="L292" s="42"/>
    </row>
    <row r="293">
      <c r="L293" s="42"/>
    </row>
    <row r="294">
      <c r="L294" s="42"/>
    </row>
    <row r="295">
      <c r="L295" s="42"/>
    </row>
    <row r="296">
      <c r="L296" s="42"/>
    </row>
    <row r="297">
      <c r="L297" s="42"/>
    </row>
    <row r="298">
      <c r="L298" s="42"/>
    </row>
    <row r="299">
      <c r="L299" s="42"/>
    </row>
    <row r="300">
      <c r="L300" s="42"/>
    </row>
  </sheetData>
  <mergeCells count="5">
    <mergeCell ref="A2:O2"/>
    <mergeCell ref="A4:K4"/>
    <mergeCell ref="M4:P4"/>
    <mergeCell ref="A14:K14"/>
    <mergeCell ref="M14:P14"/>
  </mergeCells>
  <conditionalFormatting sqref="M14:P14">
    <cfRule type="cellIs" dxfId="0" priority="1" stopIfTrue="1" operator="greaterThan">
      <formula>0</formula>
    </cfRule>
  </conditionalFormatting>
  <conditionalFormatting sqref="M14:P14">
    <cfRule type="cellIs" dxfId="1" priority="2" stopIfTrue="1" operator="lessThanOrEqual">
      <formula>0</formula>
    </cfRule>
  </conditionalFormatting>
  <hyperlinks>
    <hyperlink display="◀ Master" location="Master!A1" ref="P2"/>
  </hyperlin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2.63"/>
    <col customWidth="1" min="2" max="2" width="11.38"/>
    <col customWidth="1" min="3" max="3" width="11.13"/>
    <col customWidth="1" min="4" max="4" width="22.63"/>
    <col customWidth="1" min="5" max="5" width="10.13"/>
    <col customWidth="1" min="6" max="6" width="9.63"/>
    <col customWidth="1" min="7" max="7" width="13.63"/>
    <col customWidth="1" min="8" max="8" width="11.88"/>
    <col customWidth="1" min="9" max="9" width="7.63"/>
    <col customWidth="1" min="10" max="10" width="10.88"/>
    <col customWidth="1" min="11" max="11" width="15.38"/>
    <col customWidth="1" min="12" max="12" width="1.38"/>
    <col customWidth="1" min="13" max="13" width="12.63"/>
    <col customWidth="1" min="14" max="14" width="14.5"/>
    <col customWidth="1" min="15" max="15" width="10.38"/>
    <col customWidth="1" min="16" max="16" width="26.38"/>
  </cols>
  <sheetData>
    <row r="1" ht="6.0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4"/>
      <c r="M1" s="33"/>
      <c r="N1" s="33"/>
      <c r="O1" s="33"/>
      <c r="P1" s="33"/>
    </row>
    <row r="2" ht="33.0" customHeight="1">
      <c r="A2" s="35" t="s">
        <v>66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7" t="s">
        <v>25</v>
      </c>
    </row>
    <row r="3" ht="7.5" customHeight="1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4"/>
      <c r="M3" s="33"/>
      <c r="N3" s="33"/>
      <c r="O3" s="33"/>
      <c r="P3" s="33"/>
    </row>
    <row r="4" ht="16.5" customHeight="1">
      <c r="A4" s="38" t="s">
        <v>26</v>
      </c>
      <c r="L4" s="34"/>
      <c r="M4" s="39" t="s">
        <v>27</v>
      </c>
    </row>
    <row r="5" ht="21.0" customHeight="1">
      <c r="A5" s="40" t="s">
        <v>28</v>
      </c>
      <c r="B5" s="40" t="s">
        <v>29</v>
      </c>
      <c r="C5" s="40" t="s">
        <v>30</v>
      </c>
      <c r="D5" s="40" t="s">
        <v>31</v>
      </c>
      <c r="E5" s="40" t="s">
        <v>32</v>
      </c>
      <c r="F5" s="40" t="s">
        <v>33</v>
      </c>
      <c r="G5" s="40" t="s">
        <v>34</v>
      </c>
      <c r="H5" s="40" t="s">
        <v>35</v>
      </c>
      <c r="I5" s="40" t="s">
        <v>36</v>
      </c>
      <c r="J5" s="40" t="s">
        <v>37</v>
      </c>
      <c r="K5" s="41" t="s">
        <v>38</v>
      </c>
      <c r="L5" s="42"/>
      <c r="M5" s="43" t="s">
        <v>28</v>
      </c>
      <c r="N5" s="44" t="s">
        <v>34</v>
      </c>
      <c r="O5" s="44" t="s">
        <v>39</v>
      </c>
      <c r="P5" s="44" t="s">
        <v>40</v>
      </c>
    </row>
    <row r="6" ht="18.75" customHeight="1">
      <c r="A6" s="45">
        <v>46034.0</v>
      </c>
      <c r="B6" s="46" t="s">
        <v>67</v>
      </c>
      <c r="C6" s="47">
        <v>700.0</v>
      </c>
      <c r="D6" s="48" t="s">
        <v>42</v>
      </c>
      <c r="E6" s="49">
        <v>80.0</v>
      </c>
      <c r="F6" s="49">
        <v>828.0</v>
      </c>
      <c r="G6" s="49">
        <v>66240.0</v>
      </c>
      <c r="H6" s="49">
        <v>1200.0</v>
      </c>
      <c r="I6" s="49">
        <v>18.0</v>
      </c>
      <c r="J6" s="49">
        <v>12139.0</v>
      </c>
      <c r="K6" s="50">
        <f t="shared" ref="K6:K8" si="1">G6+H6+J6</f>
        <v>79579</v>
      </c>
      <c r="L6" s="42"/>
      <c r="M6" s="51" t="s">
        <v>2</v>
      </c>
      <c r="N6" s="52">
        <v>120000.0</v>
      </c>
      <c r="O6" s="53"/>
      <c r="P6" s="54"/>
    </row>
    <row r="7" ht="18.75" customHeight="1">
      <c r="A7" s="55">
        <v>46104.0</v>
      </c>
      <c r="B7" s="56" t="s">
        <v>68</v>
      </c>
      <c r="C7" s="57">
        <v>700.0</v>
      </c>
      <c r="D7" s="58" t="s">
        <v>54</v>
      </c>
      <c r="E7" s="59">
        <v>200.0</v>
      </c>
      <c r="F7" s="59">
        <v>825.0</v>
      </c>
      <c r="G7" s="59">
        <v>165000.0</v>
      </c>
      <c r="H7" s="59">
        <v>2500.0</v>
      </c>
      <c r="I7" s="60"/>
      <c r="J7" s="60"/>
      <c r="K7" s="60">
        <f t="shared" si="1"/>
        <v>167500</v>
      </c>
      <c r="L7" s="42"/>
      <c r="M7" s="61">
        <v>46042.0</v>
      </c>
      <c r="N7" s="62">
        <v>30000.0</v>
      </c>
      <c r="O7" s="63" t="s">
        <v>44</v>
      </c>
      <c r="P7" s="64" t="s">
        <v>69</v>
      </c>
    </row>
    <row r="8" ht="18.75" customHeight="1">
      <c r="A8" s="65">
        <v>46106.0</v>
      </c>
      <c r="B8" s="66" t="s">
        <v>70</v>
      </c>
      <c r="C8" s="67">
        <v>700.0</v>
      </c>
      <c r="D8" s="68" t="s">
        <v>42</v>
      </c>
      <c r="E8" s="69">
        <v>150.0</v>
      </c>
      <c r="F8" s="69">
        <v>815.0</v>
      </c>
      <c r="G8" s="69">
        <v>122250.0</v>
      </c>
      <c r="H8" s="69">
        <v>1600.0</v>
      </c>
      <c r="I8" s="70"/>
      <c r="J8" s="70"/>
      <c r="K8" s="70">
        <f t="shared" si="1"/>
        <v>123850</v>
      </c>
      <c r="L8" s="42"/>
      <c r="M8" s="71">
        <v>46099.0</v>
      </c>
      <c r="N8" s="72">
        <v>30000.0</v>
      </c>
      <c r="O8" s="73" t="s">
        <v>49</v>
      </c>
      <c r="P8" s="74" t="s">
        <v>49</v>
      </c>
    </row>
    <row r="9">
      <c r="L9" s="42"/>
    </row>
    <row r="10" ht="21.0" customHeight="1">
      <c r="A10" s="84" t="s">
        <v>55</v>
      </c>
      <c r="B10" s="85">
        <f>IFERROR(COUNTIF(K6:K8,"&gt;0"),0)</f>
        <v>3</v>
      </c>
      <c r="C10" s="86"/>
      <c r="D10" s="86"/>
      <c r="E10" s="85">
        <f>IFERROR(SUM(E6:E8),0)</f>
        <v>430</v>
      </c>
      <c r="F10" s="86"/>
      <c r="G10" s="85">
        <f t="shared" ref="G10:H10" si="2">IFERROR(SUM(G6:G8),0)</f>
        <v>353490</v>
      </c>
      <c r="H10" s="85">
        <f t="shared" si="2"/>
        <v>5300</v>
      </c>
      <c r="I10" s="86"/>
      <c r="J10" s="86"/>
      <c r="K10" s="85">
        <f>IFERROR(SUM(K6:K8),0)</f>
        <v>370929</v>
      </c>
      <c r="L10" s="42"/>
      <c r="M10" s="87" t="s">
        <v>56</v>
      </c>
      <c r="N10" s="85">
        <f>IFERROR(SUM(N7:N8),0)</f>
        <v>60000</v>
      </c>
      <c r="O10" s="88"/>
      <c r="P10" s="89"/>
    </row>
    <row r="11">
      <c r="L11" s="42"/>
    </row>
    <row r="12" ht="30.0" customHeight="1">
      <c r="A12" s="90" t="s">
        <v>57</v>
      </c>
      <c r="B12" s="36"/>
      <c r="C12" s="36"/>
      <c r="D12" s="36"/>
      <c r="E12" s="36"/>
      <c r="F12" s="36"/>
      <c r="G12" s="36"/>
      <c r="H12" s="36"/>
      <c r="I12" s="36"/>
      <c r="J12" s="36"/>
      <c r="K12" s="91"/>
      <c r="L12" s="42"/>
      <c r="M12" s="92">
        <f>N6+K10-N10</f>
        <v>430929</v>
      </c>
      <c r="N12" s="36"/>
      <c r="O12" s="36"/>
      <c r="P12" s="91"/>
    </row>
    <row r="13">
      <c r="L13" s="42"/>
    </row>
    <row r="14">
      <c r="L14" s="42"/>
    </row>
    <row r="15">
      <c r="L15" s="42"/>
    </row>
    <row r="16">
      <c r="L16" s="42"/>
    </row>
    <row r="17">
      <c r="L17" s="42"/>
    </row>
    <row r="18">
      <c r="L18" s="42"/>
    </row>
    <row r="19">
      <c r="L19" s="42"/>
    </row>
    <row r="20">
      <c r="L20" s="42"/>
    </row>
    <row r="21">
      <c r="L21" s="42"/>
    </row>
    <row r="22">
      <c r="L22" s="42"/>
    </row>
    <row r="23">
      <c r="L23" s="42"/>
    </row>
    <row r="24">
      <c r="L24" s="42"/>
    </row>
    <row r="25">
      <c r="L25" s="42"/>
    </row>
    <row r="26">
      <c r="L26" s="42"/>
    </row>
    <row r="27">
      <c r="L27" s="42"/>
    </row>
    <row r="28">
      <c r="L28" s="42"/>
    </row>
    <row r="29">
      <c r="L29" s="42"/>
    </row>
    <row r="30">
      <c r="L30" s="42"/>
    </row>
    <row r="31">
      <c r="L31" s="42"/>
    </row>
    <row r="32">
      <c r="L32" s="42"/>
    </row>
    <row r="33">
      <c r="L33" s="42"/>
    </row>
    <row r="34">
      <c r="L34" s="42"/>
    </row>
    <row r="35">
      <c r="L35" s="42"/>
    </row>
    <row r="36">
      <c r="L36" s="42"/>
    </row>
    <row r="37">
      <c r="L37" s="42"/>
    </row>
    <row r="38">
      <c r="L38" s="42"/>
    </row>
    <row r="39">
      <c r="L39" s="42"/>
    </row>
    <row r="40">
      <c r="L40" s="42"/>
    </row>
    <row r="41">
      <c r="L41" s="42"/>
    </row>
    <row r="42">
      <c r="L42" s="42"/>
    </row>
    <row r="43">
      <c r="L43" s="42"/>
    </row>
    <row r="44">
      <c r="L44" s="42"/>
    </row>
    <row r="45">
      <c r="L45" s="42"/>
    </row>
    <row r="46">
      <c r="L46" s="42"/>
    </row>
    <row r="47">
      <c r="L47" s="42"/>
    </row>
    <row r="48">
      <c r="L48" s="42"/>
    </row>
    <row r="49">
      <c r="L49" s="42"/>
    </row>
    <row r="50">
      <c r="L50" s="42"/>
    </row>
    <row r="51">
      <c r="L51" s="42"/>
    </row>
    <row r="52">
      <c r="L52" s="42"/>
    </row>
    <row r="53">
      <c r="L53" s="42"/>
    </row>
    <row r="54">
      <c r="L54" s="42"/>
    </row>
    <row r="55">
      <c r="L55" s="42"/>
    </row>
    <row r="56">
      <c r="L56" s="42"/>
    </row>
    <row r="57">
      <c r="L57" s="42"/>
    </row>
    <row r="58">
      <c r="L58" s="42"/>
    </row>
    <row r="59">
      <c r="L59" s="42"/>
    </row>
    <row r="60">
      <c r="L60" s="42"/>
    </row>
    <row r="61">
      <c r="L61" s="42"/>
    </row>
    <row r="62">
      <c r="L62" s="42"/>
    </row>
    <row r="63">
      <c r="L63" s="42"/>
    </row>
    <row r="64">
      <c r="L64" s="42"/>
    </row>
    <row r="65">
      <c r="L65" s="42"/>
    </row>
    <row r="66">
      <c r="L66" s="42"/>
    </row>
    <row r="67">
      <c r="L67" s="42"/>
    </row>
    <row r="68">
      <c r="L68" s="42"/>
    </row>
    <row r="69">
      <c r="L69" s="42"/>
    </row>
    <row r="70">
      <c r="L70" s="42"/>
    </row>
    <row r="71">
      <c r="L71" s="42"/>
    </row>
    <row r="72">
      <c r="L72" s="42"/>
    </row>
    <row r="73">
      <c r="L73" s="42"/>
    </row>
    <row r="74">
      <c r="L74" s="42"/>
    </row>
    <row r="75">
      <c r="L75" s="42"/>
    </row>
    <row r="76">
      <c r="L76" s="42"/>
    </row>
    <row r="77">
      <c r="L77" s="42"/>
    </row>
    <row r="78">
      <c r="L78" s="42"/>
    </row>
    <row r="79">
      <c r="L79" s="42"/>
    </row>
    <row r="80">
      <c r="L80" s="42"/>
    </row>
    <row r="81">
      <c r="L81" s="42"/>
    </row>
    <row r="82">
      <c r="L82" s="42"/>
    </row>
    <row r="83">
      <c r="L83" s="42"/>
    </row>
    <row r="84">
      <c r="L84" s="42"/>
    </row>
    <row r="85">
      <c r="L85" s="42"/>
    </row>
    <row r="86">
      <c r="L86" s="42"/>
    </row>
    <row r="87">
      <c r="L87" s="42"/>
    </row>
    <row r="88">
      <c r="L88" s="42"/>
    </row>
    <row r="89">
      <c r="L89" s="42"/>
    </row>
    <row r="90">
      <c r="L90" s="42"/>
    </row>
    <row r="91">
      <c r="L91" s="42"/>
    </row>
    <row r="92">
      <c r="L92" s="42"/>
    </row>
    <row r="93">
      <c r="L93" s="42"/>
    </row>
    <row r="94">
      <c r="L94" s="42"/>
    </row>
    <row r="95">
      <c r="L95" s="42"/>
    </row>
    <row r="96">
      <c r="L96" s="42"/>
    </row>
    <row r="97">
      <c r="L97" s="42"/>
    </row>
    <row r="98">
      <c r="L98" s="42"/>
    </row>
    <row r="99">
      <c r="L99" s="42"/>
    </row>
    <row r="100">
      <c r="L100" s="42"/>
    </row>
    <row r="101">
      <c r="L101" s="42"/>
    </row>
    <row r="102">
      <c r="L102" s="42"/>
    </row>
    <row r="103">
      <c r="L103" s="42"/>
    </row>
    <row r="104">
      <c r="L104" s="42"/>
    </row>
    <row r="105">
      <c r="L105" s="42"/>
    </row>
    <row r="106">
      <c r="L106" s="42"/>
    </row>
    <row r="107">
      <c r="L107" s="42"/>
    </row>
    <row r="108">
      <c r="L108" s="42"/>
    </row>
    <row r="109">
      <c r="L109" s="42"/>
    </row>
    <row r="110">
      <c r="L110" s="42"/>
    </row>
    <row r="111">
      <c r="L111" s="42"/>
    </row>
    <row r="112">
      <c r="L112" s="42"/>
    </row>
    <row r="113">
      <c r="L113" s="42"/>
    </row>
    <row r="114">
      <c r="L114" s="42"/>
    </row>
    <row r="115">
      <c r="L115" s="42"/>
    </row>
    <row r="116">
      <c r="L116" s="42"/>
    </row>
    <row r="117">
      <c r="L117" s="42"/>
    </row>
    <row r="118">
      <c r="L118" s="42"/>
    </row>
    <row r="119">
      <c r="L119" s="42"/>
    </row>
    <row r="120">
      <c r="L120" s="42"/>
    </row>
    <row r="121">
      <c r="L121" s="42"/>
    </row>
    <row r="122">
      <c r="L122" s="42"/>
    </row>
    <row r="123">
      <c r="L123" s="42"/>
    </row>
    <row r="124">
      <c r="L124" s="42"/>
    </row>
    <row r="125">
      <c r="L125" s="42"/>
    </row>
    <row r="126">
      <c r="L126" s="42"/>
    </row>
    <row r="127">
      <c r="L127" s="42"/>
    </row>
    <row r="128">
      <c r="L128" s="42"/>
    </row>
    <row r="129">
      <c r="L129" s="42"/>
    </row>
    <row r="130">
      <c r="L130" s="42"/>
    </row>
    <row r="131">
      <c r="L131" s="42"/>
    </row>
    <row r="132">
      <c r="L132" s="42"/>
    </row>
    <row r="133">
      <c r="L133" s="42"/>
    </row>
    <row r="134">
      <c r="L134" s="42"/>
    </row>
    <row r="135">
      <c r="L135" s="42"/>
    </row>
    <row r="136">
      <c r="L136" s="42"/>
    </row>
    <row r="137">
      <c r="L137" s="42"/>
    </row>
    <row r="138">
      <c r="L138" s="42"/>
    </row>
    <row r="139">
      <c r="L139" s="42"/>
    </row>
    <row r="140">
      <c r="L140" s="42"/>
    </row>
    <row r="141">
      <c r="L141" s="42"/>
    </row>
    <row r="142">
      <c r="L142" s="42"/>
    </row>
    <row r="143">
      <c r="L143" s="42"/>
    </row>
    <row r="144">
      <c r="L144" s="42"/>
    </row>
    <row r="145">
      <c r="L145" s="42"/>
    </row>
    <row r="146">
      <c r="L146" s="42"/>
    </row>
    <row r="147">
      <c r="L147" s="42"/>
    </row>
    <row r="148">
      <c r="L148" s="42"/>
    </row>
    <row r="149">
      <c r="L149" s="42"/>
    </row>
    <row r="150">
      <c r="L150" s="42"/>
    </row>
    <row r="151">
      <c r="L151" s="42"/>
    </row>
    <row r="152">
      <c r="L152" s="42"/>
    </row>
    <row r="153">
      <c r="L153" s="42"/>
    </row>
    <row r="154">
      <c r="L154" s="42"/>
    </row>
    <row r="155">
      <c r="L155" s="42"/>
    </row>
    <row r="156">
      <c r="L156" s="42"/>
    </row>
    <row r="157">
      <c r="L157" s="42"/>
    </row>
    <row r="158">
      <c r="L158" s="42"/>
    </row>
    <row r="159">
      <c r="L159" s="42"/>
    </row>
    <row r="160">
      <c r="L160" s="42"/>
    </row>
    <row r="161">
      <c r="L161" s="42"/>
    </row>
    <row r="162">
      <c r="L162" s="42"/>
    </row>
    <row r="163">
      <c r="L163" s="42"/>
    </row>
    <row r="164">
      <c r="L164" s="42"/>
    </row>
    <row r="165">
      <c r="L165" s="42"/>
    </row>
    <row r="166">
      <c r="L166" s="42"/>
    </row>
    <row r="167">
      <c r="L167" s="42"/>
    </row>
    <row r="168">
      <c r="L168" s="42"/>
    </row>
    <row r="169">
      <c r="L169" s="42"/>
    </row>
    <row r="170">
      <c r="L170" s="42"/>
    </row>
    <row r="171">
      <c r="L171" s="42"/>
    </row>
    <row r="172">
      <c r="L172" s="42"/>
    </row>
    <row r="173">
      <c r="L173" s="42"/>
    </row>
    <row r="174">
      <c r="L174" s="42"/>
    </row>
    <row r="175">
      <c r="L175" s="42"/>
    </row>
    <row r="176">
      <c r="L176" s="42"/>
    </row>
    <row r="177">
      <c r="L177" s="42"/>
    </row>
    <row r="178">
      <c r="L178" s="42"/>
    </row>
    <row r="179">
      <c r="L179" s="42"/>
    </row>
    <row r="180">
      <c r="L180" s="42"/>
    </row>
    <row r="181">
      <c r="L181" s="42"/>
    </row>
    <row r="182">
      <c r="L182" s="42"/>
    </row>
    <row r="183">
      <c r="L183" s="42"/>
    </row>
    <row r="184">
      <c r="L184" s="42"/>
    </row>
    <row r="185">
      <c r="L185" s="42"/>
    </row>
    <row r="186">
      <c r="L186" s="42"/>
    </row>
    <row r="187">
      <c r="L187" s="42"/>
    </row>
    <row r="188">
      <c r="L188" s="42"/>
    </row>
    <row r="189">
      <c r="L189" s="42"/>
    </row>
    <row r="190">
      <c r="L190" s="42"/>
    </row>
    <row r="191">
      <c r="L191" s="42"/>
    </row>
    <row r="192">
      <c r="L192" s="42"/>
    </row>
    <row r="193">
      <c r="L193" s="42"/>
    </row>
    <row r="194">
      <c r="L194" s="42"/>
    </row>
    <row r="195">
      <c r="L195" s="42"/>
    </row>
    <row r="196">
      <c r="L196" s="42"/>
    </row>
    <row r="197">
      <c r="L197" s="42"/>
    </row>
    <row r="198">
      <c r="L198" s="42"/>
    </row>
    <row r="199">
      <c r="L199" s="42"/>
    </row>
    <row r="200">
      <c r="L200" s="42"/>
    </row>
    <row r="201">
      <c r="L201" s="42"/>
    </row>
    <row r="202">
      <c r="L202" s="42"/>
    </row>
    <row r="203">
      <c r="L203" s="42"/>
    </row>
    <row r="204">
      <c r="L204" s="42"/>
    </row>
    <row r="205">
      <c r="L205" s="42"/>
    </row>
    <row r="206">
      <c r="L206" s="42"/>
    </row>
    <row r="207">
      <c r="L207" s="42"/>
    </row>
    <row r="208">
      <c r="L208" s="42"/>
    </row>
    <row r="209">
      <c r="L209" s="42"/>
    </row>
    <row r="210">
      <c r="L210" s="42"/>
    </row>
    <row r="211">
      <c r="L211" s="42"/>
    </row>
    <row r="212">
      <c r="L212" s="42"/>
    </row>
    <row r="213">
      <c r="L213" s="42"/>
    </row>
    <row r="214">
      <c r="L214" s="42"/>
    </row>
    <row r="215">
      <c r="L215" s="42"/>
    </row>
    <row r="216">
      <c r="L216" s="42"/>
    </row>
    <row r="217">
      <c r="L217" s="42"/>
    </row>
    <row r="218">
      <c r="L218" s="42"/>
    </row>
    <row r="219">
      <c r="L219" s="42"/>
    </row>
    <row r="220">
      <c r="L220" s="42"/>
    </row>
    <row r="221">
      <c r="L221" s="42"/>
    </row>
    <row r="222">
      <c r="L222" s="42"/>
    </row>
    <row r="223">
      <c r="L223" s="42"/>
    </row>
    <row r="224">
      <c r="L224" s="42"/>
    </row>
    <row r="225">
      <c r="L225" s="42"/>
    </row>
    <row r="226">
      <c r="L226" s="42"/>
    </row>
    <row r="227">
      <c r="L227" s="42"/>
    </row>
    <row r="228">
      <c r="L228" s="42"/>
    </row>
    <row r="229">
      <c r="L229" s="42"/>
    </row>
    <row r="230">
      <c r="L230" s="42"/>
    </row>
    <row r="231">
      <c r="L231" s="42"/>
    </row>
    <row r="232">
      <c r="L232" s="42"/>
    </row>
    <row r="233">
      <c r="L233" s="42"/>
    </row>
    <row r="234">
      <c r="L234" s="42"/>
    </row>
    <row r="235">
      <c r="L235" s="42"/>
    </row>
    <row r="236">
      <c r="L236" s="42"/>
    </row>
    <row r="237">
      <c r="L237" s="42"/>
    </row>
    <row r="238">
      <c r="L238" s="42"/>
    </row>
    <row r="239">
      <c r="L239" s="42"/>
    </row>
    <row r="240">
      <c r="L240" s="42"/>
    </row>
    <row r="241">
      <c r="L241" s="42"/>
    </row>
    <row r="242">
      <c r="L242" s="42"/>
    </row>
    <row r="243">
      <c r="L243" s="42"/>
    </row>
    <row r="244">
      <c r="L244" s="42"/>
    </row>
    <row r="245">
      <c r="L245" s="42"/>
    </row>
    <row r="246">
      <c r="L246" s="42"/>
    </row>
    <row r="247">
      <c r="L247" s="42"/>
    </row>
    <row r="248">
      <c r="L248" s="42"/>
    </row>
    <row r="249">
      <c r="L249" s="42"/>
    </row>
    <row r="250">
      <c r="L250" s="42"/>
    </row>
    <row r="251">
      <c r="L251" s="42"/>
    </row>
    <row r="252">
      <c r="L252" s="42"/>
    </row>
    <row r="253">
      <c r="L253" s="42"/>
    </row>
    <row r="254">
      <c r="L254" s="42"/>
    </row>
    <row r="255">
      <c r="L255" s="42"/>
    </row>
    <row r="256">
      <c r="L256" s="42"/>
    </row>
    <row r="257">
      <c r="L257" s="42"/>
    </row>
    <row r="258">
      <c r="L258" s="42"/>
    </row>
    <row r="259">
      <c r="L259" s="42"/>
    </row>
    <row r="260">
      <c r="L260" s="42"/>
    </row>
    <row r="261">
      <c r="L261" s="42"/>
    </row>
    <row r="262">
      <c r="L262" s="42"/>
    </row>
    <row r="263">
      <c r="L263" s="42"/>
    </row>
    <row r="264">
      <c r="L264" s="42"/>
    </row>
    <row r="265">
      <c r="L265" s="42"/>
    </row>
    <row r="266">
      <c r="L266" s="42"/>
    </row>
    <row r="267">
      <c r="L267" s="42"/>
    </row>
    <row r="268">
      <c r="L268" s="42"/>
    </row>
    <row r="269">
      <c r="L269" s="42"/>
    </row>
    <row r="270">
      <c r="L270" s="42"/>
    </row>
    <row r="271">
      <c r="L271" s="42"/>
    </row>
    <row r="272">
      <c r="L272" s="42"/>
    </row>
    <row r="273">
      <c r="L273" s="42"/>
    </row>
    <row r="274">
      <c r="L274" s="42"/>
    </row>
    <row r="275">
      <c r="L275" s="42"/>
    </row>
    <row r="276">
      <c r="L276" s="42"/>
    </row>
    <row r="277">
      <c r="L277" s="42"/>
    </row>
    <row r="278">
      <c r="L278" s="42"/>
    </row>
    <row r="279">
      <c r="L279" s="42"/>
    </row>
    <row r="280">
      <c r="L280" s="42"/>
    </row>
    <row r="281">
      <c r="L281" s="42"/>
    </row>
    <row r="282">
      <c r="L282" s="42"/>
    </row>
    <row r="283">
      <c r="L283" s="42"/>
    </row>
    <row r="284">
      <c r="L284" s="42"/>
    </row>
    <row r="285">
      <c r="L285" s="42"/>
    </row>
    <row r="286">
      <c r="L286" s="42"/>
    </row>
    <row r="287">
      <c r="L287" s="42"/>
    </row>
    <row r="288">
      <c r="L288" s="42"/>
    </row>
    <row r="289">
      <c r="L289" s="42"/>
    </row>
    <row r="290">
      <c r="L290" s="42"/>
    </row>
    <row r="291">
      <c r="L291" s="42"/>
    </row>
    <row r="292">
      <c r="L292" s="42"/>
    </row>
    <row r="293">
      <c r="L293" s="42"/>
    </row>
    <row r="294">
      <c r="L294" s="42"/>
    </row>
    <row r="295">
      <c r="L295" s="42"/>
    </row>
    <row r="296">
      <c r="L296" s="42"/>
    </row>
    <row r="297">
      <c r="L297" s="42"/>
    </row>
    <row r="298">
      <c r="L298" s="42"/>
    </row>
    <row r="299">
      <c r="L299" s="42"/>
    </row>
    <row r="300">
      <c r="L300" s="42"/>
    </row>
  </sheetData>
  <mergeCells count="5">
    <mergeCell ref="A2:O2"/>
    <mergeCell ref="A4:K4"/>
    <mergeCell ref="M4:P4"/>
    <mergeCell ref="A12:K12"/>
    <mergeCell ref="M12:P12"/>
  </mergeCells>
  <conditionalFormatting sqref="M12:P12">
    <cfRule type="cellIs" dxfId="0" priority="1" stopIfTrue="1" operator="greaterThan">
      <formula>0</formula>
    </cfRule>
  </conditionalFormatting>
  <conditionalFormatting sqref="M12:P12">
    <cfRule type="cellIs" dxfId="1" priority="2" stopIfTrue="1" operator="lessThanOrEqual">
      <formula>0</formula>
    </cfRule>
  </conditionalFormatting>
  <hyperlinks>
    <hyperlink display="◀ Master" location="Master!A1" ref="P2"/>
  </hyperlin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2.63"/>
    <col customWidth="1" min="2" max="2" width="11.38"/>
    <col customWidth="1" min="3" max="3" width="11.13"/>
    <col customWidth="1" min="4" max="4" width="22.63"/>
    <col customWidth="1" min="5" max="5" width="10.13"/>
    <col customWidth="1" min="6" max="6" width="9.63"/>
    <col customWidth="1" min="7" max="7" width="13.63"/>
    <col customWidth="1" min="8" max="8" width="11.88"/>
    <col customWidth="1" min="9" max="9" width="7.63"/>
    <col customWidth="1" min="10" max="10" width="10.88"/>
    <col customWidth="1" min="11" max="11" width="15.38"/>
    <col customWidth="1" min="12" max="12" width="1.38"/>
    <col customWidth="1" min="13" max="13" width="12.63"/>
    <col customWidth="1" min="14" max="14" width="14.5"/>
    <col customWidth="1" min="15" max="15" width="10.38"/>
    <col customWidth="1" min="16" max="16" width="26.38"/>
  </cols>
  <sheetData>
    <row r="1" ht="6.0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4"/>
      <c r="M1" s="33"/>
      <c r="N1" s="33"/>
      <c r="O1" s="33"/>
      <c r="P1" s="33"/>
    </row>
    <row r="2" ht="33.0" customHeight="1">
      <c r="A2" s="35" t="s">
        <v>71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7" t="s">
        <v>25</v>
      </c>
    </row>
    <row r="3" ht="7.5" customHeight="1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4"/>
      <c r="M3" s="33"/>
      <c r="N3" s="33"/>
      <c r="O3" s="33"/>
      <c r="P3" s="33"/>
    </row>
    <row r="4" ht="16.5" customHeight="1">
      <c r="A4" s="38" t="s">
        <v>26</v>
      </c>
      <c r="L4" s="34"/>
      <c r="M4" s="39" t="s">
        <v>27</v>
      </c>
    </row>
    <row r="5" ht="21.0" customHeight="1">
      <c r="A5" s="40" t="s">
        <v>28</v>
      </c>
      <c r="B5" s="40" t="s">
        <v>29</v>
      </c>
      <c r="C5" s="40" t="s">
        <v>30</v>
      </c>
      <c r="D5" s="40" t="s">
        <v>31</v>
      </c>
      <c r="E5" s="40" t="s">
        <v>32</v>
      </c>
      <c r="F5" s="40" t="s">
        <v>33</v>
      </c>
      <c r="G5" s="40" t="s">
        <v>34</v>
      </c>
      <c r="H5" s="40" t="s">
        <v>35</v>
      </c>
      <c r="I5" s="40" t="s">
        <v>36</v>
      </c>
      <c r="J5" s="40" t="s">
        <v>37</v>
      </c>
      <c r="K5" s="41" t="s">
        <v>38</v>
      </c>
      <c r="L5" s="42"/>
      <c r="M5" s="43" t="s">
        <v>28</v>
      </c>
      <c r="N5" s="44" t="s">
        <v>34</v>
      </c>
      <c r="O5" s="44" t="s">
        <v>39</v>
      </c>
      <c r="P5" s="44" t="s">
        <v>40</v>
      </c>
    </row>
    <row r="6" ht="18.75" customHeight="1">
      <c r="A6" s="45">
        <v>46040.0</v>
      </c>
      <c r="B6" s="46" t="s">
        <v>72</v>
      </c>
      <c r="C6" s="47">
        <v>707.0</v>
      </c>
      <c r="D6" s="48" t="s">
        <v>42</v>
      </c>
      <c r="E6" s="49">
        <v>150.0</v>
      </c>
      <c r="F6" s="49">
        <v>837.0</v>
      </c>
      <c r="G6" s="49">
        <v>125550.0</v>
      </c>
      <c r="H6" s="49">
        <v>2500.0</v>
      </c>
      <c r="I6" s="50"/>
      <c r="J6" s="50"/>
      <c r="K6" s="50">
        <f t="shared" ref="K6:K8" si="1">G6+H6+J6</f>
        <v>128050</v>
      </c>
      <c r="L6" s="42"/>
      <c r="M6" s="51" t="s">
        <v>2</v>
      </c>
      <c r="N6" s="52">
        <v>300000.0</v>
      </c>
      <c r="O6" s="53"/>
      <c r="P6" s="54"/>
    </row>
    <row r="7" ht="18.75" customHeight="1">
      <c r="A7" s="55">
        <v>46097.0</v>
      </c>
      <c r="B7" s="56" t="s">
        <v>73</v>
      </c>
      <c r="C7" s="57">
        <v>763.0</v>
      </c>
      <c r="D7" s="58" t="s">
        <v>42</v>
      </c>
      <c r="E7" s="59">
        <v>100.0</v>
      </c>
      <c r="F7" s="59">
        <v>873.0</v>
      </c>
      <c r="G7" s="59">
        <v>87300.0</v>
      </c>
      <c r="H7" s="59">
        <v>2000.0</v>
      </c>
      <c r="I7" s="59">
        <v>18.0</v>
      </c>
      <c r="J7" s="59">
        <v>16074.0</v>
      </c>
      <c r="K7" s="60">
        <f t="shared" si="1"/>
        <v>105374</v>
      </c>
      <c r="L7" s="42"/>
      <c r="M7" s="61">
        <v>46048.0</v>
      </c>
      <c r="N7" s="62">
        <v>50000.0</v>
      </c>
      <c r="O7" s="63" t="s">
        <v>44</v>
      </c>
      <c r="P7" s="64" t="s">
        <v>74</v>
      </c>
    </row>
    <row r="8" ht="18.75" customHeight="1">
      <c r="A8" s="65">
        <v>46128.0</v>
      </c>
      <c r="B8" s="66" t="s">
        <v>75</v>
      </c>
      <c r="C8" s="67">
        <v>763.0</v>
      </c>
      <c r="D8" s="68" t="s">
        <v>42</v>
      </c>
      <c r="E8" s="69">
        <v>100.0</v>
      </c>
      <c r="F8" s="69">
        <v>873.0</v>
      </c>
      <c r="G8" s="69">
        <v>87300.0</v>
      </c>
      <c r="H8" s="69">
        <v>2000.0</v>
      </c>
      <c r="I8" s="69">
        <v>18.0</v>
      </c>
      <c r="J8" s="69">
        <v>16074.0</v>
      </c>
      <c r="K8" s="70">
        <f t="shared" si="1"/>
        <v>105374</v>
      </c>
      <c r="L8" s="42"/>
      <c r="M8" s="71">
        <v>46106.0</v>
      </c>
      <c r="N8" s="72">
        <v>25000.0</v>
      </c>
      <c r="O8" s="73" t="s">
        <v>44</v>
      </c>
      <c r="P8" s="74" t="s">
        <v>76</v>
      </c>
    </row>
    <row r="9" ht="18.75" customHeight="1">
      <c r="A9" s="75">
        <v>46138.0</v>
      </c>
      <c r="B9" s="76" t="s">
        <v>77</v>
      </c>
      <c r="C9" s="77">
        <v>770.0</v>
      </c>
      <c r="D9" s="78" t="s">
        <v>42</v>
      </c>
      <c r="E9" s="79">
        <v>110.0</v>
      </c>
      <c r="F9" s="79">
        <v>876.0</v>
      </c>
      <c r="G9" s="79">
        <v>96360.0</v>
      </c>
      <c r="H9" s="79">
        <v>2500.0</v>
      </c>
      <c r="I9" s="79">
        <v>18.0</v>
      </c>
      <c r="J9" s="79">
        <v>17345.0</v>
      </c>
      <c r="K9" s="80"/>
      <c r="L9" s="42"/>
      <c r="M9" s="61">
        <v>46119.0</v>
      </c>
      <c r="N9" s="62">
        <v>15000.0</v>
      </c>
      <c r="O9" s="63" t="s">
        <v>49</v>
      </c>
      <c r="P9" s="64" t="s">
        <v>78</v>
      </c>
    </row>
    <row r="10" ht="18.75" customHeight="1">
      <c r="A10" s="82"/>
      <c r="B10" s="83"/>
      <c r="C10" s="83"/>
      <c r="D10" s="48" t="s">
        <v>54</v>
      </c>
      <c r="E10" s="49">
        <v>70.0</v>
      </c>
      <c r="F10" s="49">
        <v>842.0</v>
      </c>
      <c r="G10" s="49">
        <v>58940.0</v>
      </c>
      <c r="H10" s="50"/>
      <c r="I10" s="50"/>
      <c r="J10" s="50"/>
      <c r="K10" s="50">
        <f>SUM(G9:G10)+SUM(H9:H10)+SUM(J9:J10)</f>
        <v>175145</v>
      </c>
      <c r="L10" s="42"/>
      <c r="M10" s="71">
        <v>46121.0</v>
      </c>
      <c r="N10" s="72">
        <v>50000.0</v>
      </c>
      <c r="O10" s="73" t="s">
        <v>44</v>
      </c>
      <c r="P10" s="74" t="s">
        <v>79</v>
      </c>
    </row>
    <row r="11" ht="18.75" customHeight="1">
      <c r="A11" s="95"/>
      <c r="B11" s="96"/>
      <c r="C11" s="96"/>
      <c r="D11" s="97"/>
      <c r="E11" s="93"/>
      <c r="F11" s="93"/>
      <c r="G11" s="93"/>
      <c r="H11" s="93"/>
      <c r="I11" s="93"/>
      <c r="J11" s="93"/>
      <c r="K11" s="80"/>
      <c r="L11" s="42"/>
      <c r="M11" s="61">
        <v>46124.0</v>
      </c>
      <c r="N11" s="62">
        <v>30000.0</v>
      </c>
      <c r="O11" s="63" t="s">
        <v>44</v>
      </c>
      <c r="P11" s="64" t="s">
        <v>80</v>
      </c>
    </row>
    <row r="12" ht="18.75" customHeight="1">
      <c r="A12" s="98"/>
      <c r="B12" s="53"/>
      <c r="C12" s="53"/>
      <c r="D12" s="54"/>
      <c r="E12" s="99"/>
      <c r="F12" s="99"/>
      <c r="G12" s="99"/>
      <c r="H12" s="99"/>
      <c r="I12" s="99"/>
      <c r="J12" s="99"/>
      <c r="K12" s="100"/>
      <c r="L12" s="42"/>
      <c r="M12" s="71">
        <v>46126.0</v>
      </c>
      <c r="N12" s="72">
        <v>25000.0</v>
      </c>
      <c r="O12" s="73" t="s">
        <v>49</v>
      </c>
      <c r="P12" s="74" t="s">
        <v>81</v>
      </c>
    </row>
    <row r="13" ht="18.75" customHeight="1">
      <c r="A13" s="101"/>
      <c r="B13" s="102"/>
      <c r="C13" s="102"/>
      <c r="D13" s="94"/>
      <c r="E13" s="103"/>
      <c r="F13" s="103"/>
      <c r="G13" s="103"/>
      <c r="H13" s="103"/>
      <c r="I13" s="103"/>
      <c r="J13" s="103"/>
      <c r="K13" s="104"/>
      <c r="L13" s="42"/>
      <c r="M13" s="61">
        <v>46128.0</v>
      </c>
      <c r="N13" s="62">
        <v>100000.0</v>
      </c>
      <c r="O13" s="63" t="s">
        <v>44</v>
      </c>
      <c r="P13" s="64" t="s">
        <v>82</v>
      </c>
    </row>
    <row r="14">
      <c r="L14" s="42"/>
    </row>
    <row r="15" ht="21.0" customHeight="1">
      <c r="A15" s="84" t="s">
        <v>55</v>
      </c>
      <c r="B15" s="85">
        <f>IFERROR(COUNTIF(K6:K10,"&gt;0"),0)</f>
        <v>4</v>
      </c>
      <c r="C15" s="86"/>
      <c r="D15" s="86"/>
      <c r="E15" s="85">
        <f>IFERROR(SUM(E6:E10),0)</f>
        <v>530</v>
      </c>
      <c r="F15" s="86"/>
      <c r="G15" s="85">
        <f t="shared" ref="G15:H15" si="2">IFERROR(SUM(G6:G10),0)</f>
        <v>455450</v>
      </c>
      <c r="H15" s="85">
        <f t="shared" si="2"/>
        <v>9000</v>
      </c>
      <c r="I15" s="86"/>
      <c r="J15" s="86"/>
      <c r="K15" s="85">
        <f>IFERROR(SUM(K6:K10),0)</f>
        <v>513943</v>
      </c>
      <c r="L15" s="42"/>
      <c r="M15" s="87" t="s">
        <v>56</v>
      </c>
      <c r="N15" s="85">
        <f>IFERROR(SUM(N7:N13),0)</f>
        <v>295000</v>
      </c>
      <c r="O15" s="88"/>
      <c r="P15" s="89"/>
    </row>
    <row r="16">
      <c r="L16" s="42"/>
    </row>
    <row r="17" ht="30.0" customHeight="1">
      <c r="A17" s="90" t="s">
        <v>57</v>
      </c>
      <c r="B17" s="36"/>
      <c r="C17" s="36"/>
      <c r="D17" s="36"/>
      <c r="E17" s="36"/>
      <c r="F17" s="36"/>
      <c r="G17" s="36"/>
      <c r="H17" s="36"/>
      <c r="I17" s="36"/>
      <c r="J17" s="36"/>
      <c r="K17" s="91"/>
      <c r="L17" s="42"/>
      <c r="M17" s="92">
        <f>N6+K15-N15</f>
        <v>518943</v>
      </c>
      <c r="N17" s="36"/>
      <c r="O17" s="36"/>
      <c r="P17" s="91"/>
    </row>
    <row r="18">
      <c r="L18" s="42"/>
    </row>
    <row r="19">
      <c r="L19" s="42"/>
    </row>
    <row r="20">
      <c r="L20" s="42"/>
    </row>
    <row r="21">
      <c r="L21" s="42"/>
    </row>
    <row r="22">
      <c r="L22" s="42"/>
    </row>
    <row r="23">
      <c r="L23" s="42"/>
    </row>
    <row r="24">
      <c r="L24" s="42"/>
    </row>
    <row r="25">
      <c r="L25" s="42"/>
    </row>
    <row r="26">
      <c r="L26" s="42"/>
    </row>
    <row r="27">
      <c r="L27" s="42"/>
    </row>
    <row r="28">
      <c r="L28" s="42"/>
    </row>
    <row r="29">
      <c r="L29" s="42"/>
    </row>
    <row r="30">
      <c r="L30" s="42"/>
    </row>
    <row r="31">
      <c r="L31" s="42"/>
    </row>
    <row r="32">
      <c r="L32" s="42"/>
    </row>
    <row r="33">
      <c r="L33" s="42"/>
    </row>
    <row r="34">
      <c r="L34" s="42"/>
    </row>
    <row r="35">
      <c r="L35" s="42"/>
    </row>
    <row r="36">
      <c r="L36" s="42"/>
    </row>
    <row r="37">
      <c r="L37" s="42"/>
    </row>
    <row r="38">
      <c r="L38" s="42"/>
    </row>
    <row r="39">
      <c r="L39" s="42"/>
    </row>
    <row r="40">
      <c r="L40" s="42"/>
    </row>
    <row r="41">
      <c r="L41" s="42"/>
    </row>
    <row r="42">
      <c r="L42" s="42"/>
    </row>
    <row r="43">
      <c r="L43" s="42"/>
    </row>
    <row r="44">
      <c r="L44" s="42"/>
    </row>
    <row r="45">
      <c r="L45" s="42"/>
    </row>
    <row r="46">
      <c r="L46" s="42"/>
    </row>
    <row r="47">
      <c r="L47" s="42"/>
    </row>
    <row r="48">
      <c r="L48" s="42"/>
    </row>
    <row r="49">
      <c r="L49" s="42"/>
    </row>
    <row r="50">
      <c r="L50" s="42"/>
    </row>
    <row r="51">
      <c r="L51" s="42"/>
    </row>
    <row r="52">
      <c r="L52" s="42"/>
    </row>
    <row r="53">
      <c r="L53" s="42"/>
    </row>
    <row r="54">
      <c r="L54" s="42"/>
    </row>
    <row r="55">
      <c r="L55" s="42"/>
    </row>
    <row r="56">
      <c r="L56" s="42"/>
    </row>
    <row r="57">
      <c r="L57" s="42"/>
    </row>
    <row r="58">
      <c r="L58" s="42"/>
    </row>
    <row r="59">
      <c r="L59" s="42"/>
    </row>
    <row r="60">
      <c r="L60" s="42"/>
    </row>
    <row r="61">
      <c r="L61" s="42"/>
    </row>
    <row r="62">
      <c r="L62" s="42"/>
    </row>
    <row r="63">
      <c r="L63" s="42"/>
    </row>
    <row r="64">
      <c r="L64" s="42"/>
    </row>
    <row r="65">
      <c r="L65" s="42"/>
    </row>
    <row r="66">
      <c r="L66" s="42"/>
    </row>
    <row r="67">
      <c r="L67" s="42"/>
    </row>
    <row r="68">
      <c r="L68" s="42"/>
    </row>
    <row r="69">
      <c r="L69" s="42"/>
    </row>
    <row r="70">
      <c r="L70" s="42"/>
    </row>
    <row r="71">
      <c r="L71" s="42"/>
    </row>
    <row r="72">
      <c r="L72" s="42"/>
    </row>
    <row r="73">
      <c r="L73" s="42"/>
    </row>
    <row r="74">
      <c r="L74" s="42"/>
    </row>
    <row r="75">
      <c r="L75" s="42"/>
    </row>
    <row r="76">
      <c r="L76" s="42"/>
    </row>
    <row r="77">
      <c r="L77" s="42"/>
    </row>
    <row r="78">
      <c r="L78" s="42"/>
    </row>
    <row r="79">
      <c r="L79" s="42"/>
    </row>
    <row r="80">
      <c r="L80" s="42"/>
    </row>
    <row r="81">
      <c r="L81" s="42"/>
    </row>
    <row r="82">
      <c r="L82" s="42"/>
    </row>
    <row r="83">
      <c r="L83" s="42"/>
    </row>
    <row r="84">
      <c r="L84" s="42"/>
    </row>
    <row r="85">
      <c r="L85" s="42"/>
    </row>
    <row r="86">
      <c r="L86" s="42"/>
    </row>
    <row r="87">
      <c r="L87" s="42"/>
    </row>
    <row r="88">
      <c r="L88" s="42"/>
    </row>
    <row r="89">
      <c r="L89" s="42"/>
    </row>
    <row r="90">
      <c r="L90" s="42"/>
    </row>
    <row r="91">
      <c r="L91" s="42"/>
    </row>
    <row r="92">
      <c r="L92" s="42"/>
    </row>
    <row r="93">
      <c r="L93" s="42"/>
    </row>
    <row r="94">
      <c r="L94" s="42"/>
    </row>
    <row r="95">
      <c r="L95" s="42"/>
    </row>
    <row r="96">
      <c r="L96" s="42"/>
    </row>
    <row r="97">
      <c r="L97" s="42"/>
    </row>
    <row r="98">
      <c r="L98" s="42"/>
    </row>
    <row r="99">
      <c r="L99" s="42"/>
    </row>
    <row r="100">
      <c r="L100" s="42"/>
    </row>
    <row r="101">
      <c r="L101" s="42"/>
    </row>
    <row r="102">
      <c r="L102" s="42"/>
    </row>
    <row r="103">
      <c r="L103" s="42"/>
    </row>
    <row r="104">
      <c r="L104" s="42"/>
    </row>
    <row r="105">
      <c r="L105" s="42"/>
    </row>
    <row r="106">
      <c r="L106" s="42"/>
    </row>
    <row r="107">
      <c r="L107" s="42"/>
    </row>
    <row r="108">
      <c r="L108" s="42"/>
    </row>
    <row r="109">
      <c r="L109" s="42"/>
    </row>
    <row r="110">
      <c r="L110" s="42"/>
    </row>
    <row r="111">
      <c r="L111" s="42"/>
    </row>
    <row r="112">
      <c r="L112" s="42"/>
    </row>
    <row r="113">
      <c r="L113" s="42"/>
    </row>
    <row r="114">
      <c r="L114" s="42"/>
    </row>
    <row r="115">
      <c r="L115" s="42"/>
    </row>
    <row r="116">
      <c r="L116" s="42"/>
    </row>
    <row r="117">
      <c r="L117" s="42"/>
    </row>
    <row r="118">
      <c r="L118" s="42"/>
    </row>
    <row r="119">
      <c r="L119" s="42"/>
    </row>
    <row r="120">
      <c r="L120" s="42"/>
    </row>
    <row r="121">
      <c r="L121" s="42"/>
    </row>
    <row r="122">
      <c r="L122" s="42"/>
    </row>
    <row r="123">
      <c r="L123" s="42"/>
    </row>
    <row r="124">
      <c r="L124" s="42"/>
    </row>
    <row r="125">
      <c r="L125" s="42"/>
    </row>
    <row r="126">
      <c r="L126" s="42"/>
    </row>
    <row r="127">
      <c r="L127" s="42"/>
    </row>
    <row r="128">
      <c r="L128" s="42"/>
    </row>
    <row r="129">
      <c r="L129" s="42"/>
    </row>
    <row r="130">
      <c r="L130" s="42"/>
    </row>
    <row r="131">
      <c r="L131" s="42"/>
    </row>
    <row r="132">
      <c r="L132" s="42"/>
    </row>
    <row r="133">
      <c r="L133" s="42"/>
    </row>
    <row r="134">
      <c r="L134" s="42"/>
    </row>
    <row r="135">
      <c r="L135" s="42"/>
    </row>
    <row r="136">
      <c r="L136" s="42"/>
    </row>
    <row r="137">
      <c r="L137" s="42"/>
    </row>
    <row r="138">
      <c r="L138" s="42"/>
    </row>
    <row r="139">
      <c r="L139" s="42"/>
    </row>
    <row r="140">
      <c r="L140" s="42"/>
    </row>
    <row r="141">
      <c r="L141" s="42"/>
    </row>
    <row r="142">
      <c r="L142" s="42"/>
    </row>
    <row r="143">
      <c r="L143" s="42"/>
    </row>
    <row r="144">
      <c r="L144" s="42"/>
    </row>
    <row r="145">
      <c r="L145" s="42"/>
    </row>
    <row r="146">
      <c r="L146" s="42"/>
    </row>
    <row r="147">
      <c r="L147" s="42"/>
    </row>
    <row r="148">
      <c r="L148" s="42"/>
    </row>
    <row r="149">
      <c r="L149" s="42"/>
    </row>
    <row r="150">
      <c r="L150" s="42"/>
    </row>
    <row r="151">
      <c r="L151" s="42"/>
    </row>
    <row r="152">
      <c r="L152" s="42"/>
    </row>
    <row r="153">
      <c r="L153" s="42"/>
    </row>
    <row r="154">
      <c r="L154" s="42"/>
    </row>
    <row r="155">
      <c r="L155" s="42"/>
    </row>
    <row r="156">
      <c r="L156" s="42"/>
    </row>
    <row r="157">
      <c r="L157" s="42"/>
    </row>
    <row r="158">
      <c r="L158" s="42"/>
    </row>
    <row r="159">
      <c r="L159" s="42"/>
    </row>
    <row r="160">
      <c r="L160" s="42"/>
    </row>
    <row r="161">
      <c r="L161" s="42"/>
    </row>
    <row r="162">
      <c r="L162" s="42"/>
    </row>
    <row r="163">
      <c r="L163" s="42"/>
    </row>
    <row r="164">
      <c r="L164" s="42"/>
    </row>
    <row r="165">
      <c r="L165" s="42"/>
    </row>
    <row r="166">
      <c r="L166" s="42"/>
    </row>
    <row r="167">
      <c r="L167" s="42"/>
    </row>
    <row r="168">
      <c r="L168" s="42"/>
    </row>
    <row r="169">
      <c r="L169" s="42"/>
    </row>
    <row r="170">
      <c r="L170" s="42"/>
    </row>
    <row r="171">
      <c r="L171" s="42"/>
    </row>
    <row r="172">
      <c r="L172" s="42"/>
    </row>
    <row r="173">
      <c r="L173" s="42"/>
    </row>
    <row r="174">
      <c r="L174" s="42"/>
    </row>
    <row r="175">
      <c r="L175" s="42"/>
    </row>
    <row r="176">
      <c r="L176" s="42"/>
    </row>
    <row r="177">
      <c r="L177" s="42"/>
    </row>
    <row r="178">
      <c r="L178" s="42"/>
    </row>
    <row r="179">
      <c r="L179" s="42"/>
    </row>
    <row r="180">
      <c r="L180" s="42"/>
    </row>
    <row r="181">
      <c r="L181" s="42"/>
    </row>
    <row r="182">
      <c r="L182" s="42"/>
    </row>
    <row r="183">
      <c r="L183" s="42"/>
    </row>
    <row r="184">
      <c r="L184" s="42"/>
    </row>
    <row r="185">
      <c r="L185" s="42"/>
    </row>
    <row r="186">
      <c r="L186" s="42"/>
    </row>
    <row r="187">
      <c r="L187" s="42"/>
    </row>
    <row r="188">
      <c r="L188" s="42"/>
    </row>
    <row r="189">
      <c r="L189" s="42"/>
    </row>
    <row r="190">
      <c r="L190" s="42"/>
    </row>
    <row r="191">
      <c r="L191" s="42"/>
    </row>
    <row r="192">
      <c r="L192" s="42"/>
    </row>
    <row r="193">
      <c r="L193" s="42"/>
    </row>
    <row r="194">
      <c r="L194" s="42"/>
    </row>
    <row r="195">
      <c r="L195" s="42"/>
    </row>
    <row r="196">
      <c r="L196" s="42"/>
    </row>
    <row r="197">
      <c r="L197" s="42"/>
    </row>
    <row r="198">
      <c r="L198" s="42"/>
    </row>
    <row r="199">
      <c r="L199" s="42"/>
    </row>
    <row r="200">
      <c r="L200" s="42"/>
    </row>
    <row r="201">
      <c r="L201" s="42"/>
    </row>
    <row r="202">
      <c r="L202" s="42"/>
    </row>
    <row r="203">
      <c r="L203" s="42"/>
    </row>
    <row r="204">
      <c r="L204" s="42"/>
    </row>
    <row r="205">
      <c r="L205" s="42"/>
    </row>
    <row r="206">
      <c r="L206" s="42"/>
    </row>
    <row r="207">
      <c r="L207" s="42"/>
    </row>
    <row r="208">
      <c r="L208" s="42"/>
    </row>
    <row r="209">
      <c r="L209" s="42"/>
    </row>
    <row r="210">
      <c r="L210" s="42"/>
    </row>
    <row r="211">
      <c r="L211" s="42"/>
    </row>
    <row r="212">
      <c r="L212" s="42"/>
    </row>
    <row r="213">
      <c r="L213" s="42"/>
    </row>
    <row r="214">
      <c r="L214" s="42"/>
    </row>
    <row r="215">
      <c r="L215" s="42"/>
    </row>
    <row r="216">
      <c r="L216" s="42"/>
    </row>
    <row r="217">
      <c r="L217" s="42"/>
    </row>
    <row r="218">
      <c r="L218" s="42"/>
    </row>
    <row r="219">
      <c r="L219" s="42"/>
    </row>
    <row r="220">
      <c r="L220" s="42"/>
    </row>
    <row r="221">
      <c r="L221" s="42"/>
    </row>
    <row r="222">
      <c r="L222" s="42"/>
    </row>
    <row r="223">
      <c r="L223" s="42"/>
    </row>
    <row r="224">
      <c r="L224" s="42"/>
    </row>
    <row r="225">
      <c r="L225" s="42"/>
    </row>
    <row r="226">
      <c r="L226" s="42"/>
    </row>
    <row r="227">
      <c r="L227" s="42"/>
    </row>
    <row r="228">
      <c r="L228" s="42"/>
    </row>
    <row r="229">
      <c r="L229" s="42"/>
    </row>
    <row r="230">
      <c r="L230" s="42"/>
    </row>
    <row r="231">
      <c r="L231" s="42"/>
    </row>
    <row r="232">
      <c r="L232" s="42"/>
    </row>
    <row r="233">
      <c r="L233" s="42"/>
    </row>
    <row r="234">
      <c r="L234" s="42"/>
    </row>
    <row r="235">
      <c r="L235" s="42"/>
    </row>
    <row r="236">
      <c r="L236" s="42"/>
    </row>
    <row r="237">
      <c r="L237" s="42"/>
    </row>
    <row r="238">
      <c r="L238" s="42"/>
    </row>
    <row r="239">
      <c r="L239" s="42"/>
    </row>
    <row r="240">
      <c r="L240" s="42"/>
    </row>
    <row r="241">
      <c r="L241" s="42"/>
    </row>
    <row r="242">
      <c r="L242" s="42"/>
    </row>
    <row r="243">
      <c r="L243" s="42"/>
    </row>
    <row r="244">
      <c r="L244" s="42"/>
    </row>
    <row r="245">
      <c r="L245" s="42"/>
    </row>
    <row r="246">
      <c r="L246" s="42"/>
    </row>
    <row r="247">
      <c r="L247" s="42"/>
    </row>
    <row r="248">
      <c r="L248" s="42"/>
    </row>
    <row r="249">
      <c r="L249" s="42"/>
    </row>
    <row r="250">
      <c r="L250" s="42"/>
    </row>
    <row r="251">
      <c r="L251" s="42"/>
    </row>
    <row r="252">
      <c r="L252" s="42"/>
    </row>
    <row r="253">
      <c r="L253" s="42"/>
    </row>
    <row r="254">
      <c r="L254" s="42"/>
    </row>
    <row r="255">
      <c r="L255" s="42"/>
    </row>
    <row r="256">
      <c r="L256" s="42"/>
    </row>
    <row r="257">
      <c r="L257" s="42"/>
    </row>
    <row r="258">
      <c r="L258" s="42"/>
    </row>
    <row r="259">
      <c r="L259" s="42"/>
    </row>
    <row r="260">
      <c r="L260" s="42"/>
    </row>
    <row r="261">
      <c r="L261" s="42"/>
    </row>
    <row r="262">
      <c r="L262" s="42"/>
    </row>
    <row r="263">
      <c r="L263" s="42"/>
    </row>
    <row r="264">
      <c r="L264" s="42"/>
    </row>
    <row r="265">
      <c r="L265" s="42"/>
    </row>
    <row r="266">
      <c r="L266" s="42"/>
    </row>
    <row r="267">
      <c r="L267" s="42"/>
    </row>
    <row r="268">
      <c r="L268" s="42"/>
    </row>
    <row r="269">
      <c r="L269" s="42"/>
    </row>
    <row r="270">
      <c r="L270" s="42"/>
    </row>
    <row r="271">
      <c r="L271" s="42"/>
    </row>
    <row r="272">
      <c r="L272" s="42"/>
    </row>
    <row r="273">
      <c r="L273" s="42"/>
    </row>
    <row r="274">
      <c r="L274" s="42"/>
    </row>
    <row r="275">
      <c r="L275" s="42"/>
    </row>
    <row r="276">
      <c r="L276" s="42"/>
    </row>
    <row r="277">
      <c r="L277" s="42"/>
    </row>
    <row r="278">
      <c r="L278" s="42"/>
    </row>
    <row r="279">
      <c r="L279" s="42"/>
    </row>
    <row r="280">
      <c r="L280" s="42"/>
    </row>
    <row r="281">
      <c r="L281" s="42"/>
    </row>
    <row r="282">
      <c r="L282" s="42"/>
    </row>
    <row r="283">
      <c r="L283" s="42"/>
    </row>
    <row r="284">
      <c r="L284" s="42"/>
    </row>
    <row r="285">
      <c r="L285" s="42"/>
    </row>
    <row r="286">
      <c r="L286" s="42"/>
    </row>
    <row r="287">
      <c r="L287" s="42"/>
    </row>
    <row r="288">
      <c r="L288" s="42"/>
    </row>
    <row r="289">
      <c r="L289" s="42"/>
    </row>
    <row r="290">
      <c r="L290" s="42"/>
    </row>
    <row r="291">
      <c r="L291" s="42"/>
    </row>
    <row r="292">
      <c r="L292" s="42"/>
    </row>
    <row r="293">
      <c r="L293" s="42"/>
    </row>
    <row r="294">
      <c r="L294" s="42"/>
    </row>
    <row r="295">
      <c r="L295" s="42"/>
    </row>
    <row r="296">
      <c r="L296" s="42"/>
    </row>
    <row r="297">
      <c r="L297" s="42"/>
    </row>
    <row r="298">
      <c r="L298" s="42"/>
    </row>
    <row r="299">
      <c r="L299" s="42"/>
    </row>
    <row r="300">
      <c r="L300" s="42"/>
    </row>
  </sheetData>
  <mergeCells count="5">
    <mergeCell ref="A2:O2"/>
    <mergeCell ref="A4:K4"/>
    <mergeCell ref="M4:P4"/>
    <mergeCell ref="A17:K17"/>
    <mergeCell ref="M17:P17"/>
  </mergeCells>
  <conditionalFormatting sqref="M17:P17">
    <cfRule type="cellIs" dxfId="0" priority="1" stopIfTrue="1" operator="greaterThan">
      <formula>0</formula>
    </cfRule>
  </conditionalFormatting>
  <conditionalFormatting sqref="M17:P17">
    <cfRule type="cellIs" dxfId="1" priority="2" stopIfTrue="1" operator="lessThanOrEqual">
      <formula>0</formula>
    </cfRule>
  </conditionalFormatting>
  <hyperlinks>
    <hyperlink display="◀ Master" location="Master!A1" ref="P2"/>
  </hyperlin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2.63"/>
    <col customWidth="1" min="2" max="2" width="11.38"/>
    <col customWidth="1" min="3" max="3" width="11.13"/>
    <col customWidth="1" min="4" max="4" width="22.63"/>
    <col customWidth="1" min="5" max="5" width="10.13"/>
    <col customWidth="1" min="6" max="6" width="9.63"/>
    <col customWidth="1" min="7" max="7" width="13.63"/>
    <col customWidth="1" min="8" max="8" width="11.88"/>
    <col customWidth="1" min="9" max="9" width="7.63"/>
    <col customWidth="1" min="10" max="10" width="10.88"/>
    <col customWidth="1" min="11" max="11" width="15.38"/>
    <col customWidth="1" min="12" max="12" width="1.38"/>
    <col customWidth="1" min="13" max="13" width="12.63"/>
    <col customWidth="1" min="14" max="14" width="14.5"/>
    <col customWidth="1" min="15" max="15" width="10.38"/>
    <col customWidth="1" min="16" max="16" width="26.38"/>
  </cols>
  <sheetData>
    <row r="1" ht="6.0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4"/>
      <c r="M1" s="33"/>
      <c r="N1" s="33"/>
      <c r="O1" s="33"/>
      <c r="P1" s="33"/>
    </row>
    <row r="2" ht="33.0" customHeight="1">
      <c r="A2" s="35" t="s">
        <v>83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7" t="s">
        <v>25</v>
      </c>
    </row>
    <row r="3" ht="7.5" customHeight="1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4"/>
      <c r="M3" s="33"/>
      <c r="N3" s="33"/>
      <c r="O3" s="33"/>
      <c r="P3" s="33"/>
    </row>
    <row r="4" ht="16.5" customHeight="1">
      <c r="A4" s="38" t="s">
        <v>26</v>
      </c>
      <c r="L4" s="34"/>
      <c r="M4" s="39" t="s">
        <v>27</v>
      </c>
    </row>
    <row r="5" ht="21.0" customHeight="1">
      <c r="A5" s="40" t="s">
        <v>28</v>
      </c>
      <c r="B5" s="40" t="s">
        <v>29</v>
      </c>
      <c r="C5" s="40" t="s">
        <v>30</v>
      </c>
      <c r="D5" s="40" t="s">
        <v>31</v>
      </c>
      <c r="E5" s="40" t="s">
        <v>32</v>
      </c>
      <c r="F5" s="40" t="s">
        <v>33</v>
      </c>
      <c r="G5" s="40" t="s">
        <v>34</v>
      </c>
      <c r="H5" s="40" t="s">
        <v>35</v>
      </c>
      <c r="I5" s="40" t="s">
        <v>36</v>
      </c>
      <c r="J5" s="40" t="s">
        <v>37</v>
      </c>
      <c r="K5" s="41" t="s">
        <v>38</v>
      </c>
      <c r="L5" s="42"/>
      <c r="M5" s="43" t="s">
        <v>28</v>
      </c>
      <c r="N5" s="44" t="s">
        <v>34</v>
      </c>
      <c r="O5" s="44" t="s">
        <v>39</v>
      </c>
      <c r="P5" s="44" t="s">
        <v>40</v>
      </c>
    </row>
    <row r="6" ht="18.75" customHeight="1">
      <c r="A6" s="45">
        <v>46046.0</v>
      </c>
      <c r="B6" s="46" t="s">
        <v>84</v>
      </c>
      <c r="C6" s="47">
        <v>702.0</v>
      </c>
      <c r="D6" s="48" t="s">
        <v>42</v>
      </c>
      <c r="E6" s="49">
        <v>90.0</v>
      </c>
      <c r="F6" s="49">
        <v>832.0</v>
      </c>
      <c r="G6" s="49">
        <v>74880.0</v>
      </c>
      <c r="H6" s="49">
        <v>1000.0</v>
      </c>
      <c r="I6" s="50"/>
      <c r="J6" s="50"/>
      <c r="K6" s="50">
        <f t="shared" ref="K6:K7" si="1">G6+H6+J6</f>
        <v>75880</v>
      </c>
      <c r="L6" s="42"/>
      <c r="M6" s="51" t="s">
        <v>2</v>
      </c>
      <c r="N6" s="52">
        <v>95000.0</v>
      </c>
      <c r="O6" s="53"/>
      <c r="P6" s="54"/>
    </row>
    <row r="7" ht="18.75" customHeight="1">
      <c r="A7" s="55">
        <v>46119.0</v>
      </c>
      <c r="B7" s="56" t="s">
        <v>85</v>
      </c>
      <c r="C7" s="57">
        <v>735.0</v>
      </c>
      <c r="D7" s="58" t="s">
        <v>54</v>
      </c>
      <c r="E7" s="59">
        <v>130.0</v>
      </c>
      <c r="F7" s="59">
        <v>845.0</v>
      </c>
      <c r="G7" s="59">
        <v>109850.0</v>
      </c>
      <c r="H7" s="59">
        <v>1500.0</v>
      </c>
      <c r="I7" s="60"/>
      <c r="J7" s="60"/>
      <c r="K7" s="60">
        <f t="shared" si="1"/>
        <v>111350</v>
      </c>
      <c r="L7" s="42"/>
      <c r="M7" s="61">
        <v>46095.0</v>
      </c>
      <c r="N7" s="62">
        <v>12000.0</v>
      </c>
      <c r="O7" s="63" t="s">
        <v>44</v>
      </c>
      <c r="P7" s="64" t="s">
        <v>86</v>
      </c>
    </row>
    <row r="8" ht="18.75" customHeight="1">
      <c r="A8" s="105">
        <v>46139.0</v>
      </c>
      <c r="B8" s="106" t="s">
        <v>87</v>
      </c>
      <c r="C8" s="107">
        <v>740.0</v>
      </c>
      <c r="D8" s="108" t="s">
        <v>42</v>
      </c>
      <c r="E8" s="109">
        <v>75.0</v>
      </c>
      <c r="F8" s="109">
        <v>852.0</v>
      </c>
      <c r="G8" s="109">
        <v>63900.0</v>
      </c>
      <c r="H8" s="109">
        <v>1200.0</v>
      </c>
      <c r="I8" s="110"/>
      <c r="J8" s="110"/>
      <c r="K8" s="111"/>
      <c r="L8" s="42"/>
      <c r="M8" s="42"/>
      <c r="N8" s="42"/>
      <c r="O8" s="42"/>
      <c r="P8" s="42"/>
    </row>
    <row r="9" ht="18.75" customHeight="1">
      <c r="A9" s="112"/>
      <c r="B9" s="113"/>
      <c r="C9" s="113"/>
      <c r="D9" s="114" t="s">
        <v>88</v>
      </c>
      <c r="E9" s="115">
        <v>20.0</v>
      </c>
      <c r="F9" s="115">
        <v>120.0</v>
      </c>
      <c r="G9" s="115">
        <v>2400.0</v>
      </c>
      <c r="H9" s="116"/>
      <c r="I9" s="116"/>
      <c r="J9" s="116"/>
      <c r="K9" s="116">
        <f>SUM(G8:G9)+SUM(H8:H9)+SUM(J8:J9)</f>
        <v>67500</v>
      </c>
      <c r="L9" s="42"/>
      <c r="M9" s="81"/>
      <c r="N9" s="81"/>
      <c r="O9" s="81"/>
      <c r="P9" s="81"/>
    </row>
    <row r="10">
      <c r="L10" s="42"/>
    </row>
    <row r="11" ht="21.0" customHeight="1">
      <c r="A11" s="84" t="s">
        <v>55</v>
      </c>
      <c r="B11" s="85">
        <f>IFERROR(COUNTIF(K6:K9,"&gt;0"),0)</f>
        <v>3</v>
      </c>
      <c r="C11" s="86"/>
      <c r="D11" s="86"/>
      <c r="E11" s="85">
        <f>IFERROR(SUM(E6:E9),0)</f>
        <v>315</v>
      </c>
      <c r="F11" s="86"/>
      <c r="G11" s="85">
        <f t="shared" ref="G11:H11" si="2">IFERROR(SUM(G6:G9),0)</f>
        <v>251030</v>
      </c>
      <c r="H11" s="85">
        <f t="shared" si="2"/>
        <v>3700</v>
      </c>
      <c r="I11" s="86"/>
      <c r="J11" s="86"/>
      <c r="K11" s="85">
        <f>IFERROR(SUM(K6:K9),0)</f>
        <v>254730</v>
      </c>
      <c r="L11" s="42"/>
      <c r="M11" s="87" t="s">
        <v>56</v>
      </c>
      <c r="N11" s="85">
        <f>IFERROR(SUM(N7),0)</f>
        <v>12000</v>
      </c>
      <c r="O11" s="88"/>
      <c r="P11" s="89"/>
    </row>
    <row r="12">
      <c r="L12" s="42"/>
    </row>
    <row r="13" ht="30.0" customHeight="1">
      <c r="A13" s="90" t="s">
        <v>57</v>
      </c>
      <c r="B13" s="36"/>
      <c r="C13" s="36"/>
      <c r="D13" s="36"/>
      <c r="E13" s="36"/>
      <c r="F13" s="36"/>
      <c r="G13" s="36"/>
      <c r="H13" s="36"/>
      <c r="I13" s="36"/>
      <c r="J13" s="36"/>
      <c r="K13" s="91"/>
      <c r="L13" s="42"/>
      <c r="M13" s="92">
        <f>N6+K11-N11</f>
        <v>337730</v>
      </c>
      <c r="N13" s="36"/>
      <c r="O13" s="36"/>
      <c r="P13" s="91"/>
    </row>
    <row r="14">
      <c r="L14" s="42"/>
    </row>
    <row r="15">
      <c r="L15" s="42"/>
    </row>
    <row r="16">
      <c r="L16" s="42"/>
    </row>
    <row r="17">
      <c r="L17" s="42"/>
    </row>
    <row r="18">
      <c r="L18" s="42"/>
    </row>
    <row r="19">
      <c r="L19" s="42"/>
    </row>
    <row r="20">
      <c r="L20" s="42"/>
    </row>
    <row r="21">
      <c r="L21" s="42"/>
    </row>
    <row r="22">
      <c r="L22" s="42"/>
    </row>
    <row r="23">
      <c r="L23" s="42"/>
    </row>
    <row r="24">
      <c r="L24" s="42"/>
    </row>
    <row r="25">
      <c r="L25" s="42"/>
    </row>
    <row r="26">
      <c r="L26" s="42"/>
    </row>
    <row r="27">
      <c r="L27" s="42"/>
    </row>
    <row r="28">
      <c r="L28" s="42"/>
    </row>
    <row r="29">
      <c r="L29" s="42"/>
    </row>
    <row r="30">
      <c r="L30" s="42"/>
    </row>
    <row r="31">
      <c r="L31" s="42"/>
    </row>
    <row r="32">
      <c r="L32" s="42"/>
    </row>
    <row r="33">
      <c r="L33" s="42"/>
    </row>
    <row r="34">
      <c r="L34" s="42"/>
    </row>
    <row r="35">
      <c r="L35" s="42"/>
    </row>
    <row r="36">
      <c r="L36" s="42"/>
    </row>
    <row r="37">
      <c r="L37" s="42"/>
    </row>
    <row r="38">
      <c r="L38" s="42"/>
    </row>
    <row r="39">
      <c r="L39" s="42"/>
    </row>
    <row r="40">
      <c r="L40" s="42"/>
    </row>
    <row r="41">
      <c r="L41" s="42"/>
    </row>
    <row r="42">
      <c r="L42" s="42"/>
    </row>
    <row r="43">
      <c r="L43" s="42"/>
    </row>
    <row r="44">
      <c r="L44" s="42"/>
    </row>
    <row r="45">
      <c r="L45" s="42"/>
    </row>
    <row r="46">
      <c r="L46" s="42"/>
    </row>
    <row r="47">
      <c r="L47" s="42"/>
    </row>
    <row r="48">
      <c r="L48" s="42"/>
    </row>
    <row r="49">
      <c r="L49" s="42"/>
    </row>
    <row r="50">
      <c r="L50" s="42"/>
    </row>
    <row r="51">
      <c r="L51" s="42"/>
    </row>
    <row r="52">
      <c r="L52" s="42"/>
    </row>
    <row r="53">
      <c r="L53" s="42"/>
    </row>
    <row r="54">
      <c r="L54" s="42"/>
    </row>
    <row r="55">
      <c r="L55" s="42"/>
    </row>
    <row r="56">
      <c r="L56" s="42"/>
    </row>
    <row r="57">
      <c r="L57" s="42"/>
    </row>
    <row r="58">
      <c r="L58" s="42"/>
    </row>
    <row r="59">
      <c r="L59" s="42"/>
    </row>
    <row r="60">
      <c r="L60" s="42"/>
    </row>
    <row r="61">
      <c r="L61" s="42"/>
    </row>
    <row r="62">
      <c r="L62" s="42"/>
    </row>
    <row r="63">
      <c r="L63" s="42"/>
    </row>
    <row r="64">
      <c r="L64" s="42"/>
    </row>
    <row r="65">
      <c r="L65" s="42"/>
    </row>
    <row r="66">
      <c r="L66" s="42"/>
    </row>
    <row r="67">
      <c r="L67" s="42"/>
    </row>
    <row r="68">
      <c r="L68" s="42"/>
    </row>
    <row r="69">
      <c r="L69" s="42"/>
    </row>
    <row r="70">
      <c r="L70" s="42"/>
    </row>
    <row r="71">
      <c r="L71" s="42"/>
    </row>
    <row r="72">
      <c r="L72" s="42"/>
    </row>
    <row r="73">
      <c r="L73" s="42"/>
    </row>
    <row r="74">
      <c r="L74" s="42"/>
    </row>
    <row r="75">
      <c r="L75" s="42"/>
    </row>
    <row r="76">
      <c r="L76" s="42"/>
    </row>
    <row r="77">
      <c r="L77" s="42"/>
    </row>
    <row r="78">
      <c r="L78" s="42"/>
    </row>
    <row r="79">
      <c r="L79" s="42"/>
    </row>
    <row r="80">
      <c r="L80" s="42"/>
    </row>
    <row r="81">
      <c r="L81" s="42"/>
    </row>
    <row r="82">
      <c r="L82" s="42"/>
    </row>
    <row r="83">
      <c r="L83" s="42"/>
    </row>
    <row r="84">
      <c r="L84" s="42"/>
    </row>
    <row r="85">
      <c r="L85" s="42"/>
    </row>
    <row r="86">
      <c r="L86" s="42"/>
    </row>
    <row r="87">
      <c r="L87" s="42"/>
    </row>
    <row r="88">
      <c r="L88" s="42"/>
    </row>
    <row r="89">
      <c r="L89" s="42"/>
    </row>
    <row r="90">
      <c r="L90" s="42"/>
    </row>
    <row r="91">
      <c r="L91" s="42"/>
    </row>
    <row r="92">
      <c r="L92" s="42"/>
    </row>
    <row r="93">
      <c r="L93" s="42"/>
    </row>
    <row r="94">
      <c r="L94" s="42"/>
    </row>
    <row r="95">
      <c r="L95" s="42"/>
    </row>
    <row r="96">
      <c r="L96" s="42"/>
    </row>
    <row r="97">
      <c r="L97" s="42"/>
    </row>
    <row r="98">
      <c r="L98" s="42"/>
    </row>
    <row r="99">
      <c r="L99" s="42"/>
    </row>
    <row r="100">
      <c r="L100" s="42"/>
    </row>
    <row r="101">
      <c r="L101" s="42"/>
    </row>
    <row r="102">
      <c r="L102" s="42"/>
    </row>
    <row r="103">
      <c r="L103" s="42"/>
    </row>
    <row r="104">
      <c r="L104" s="42"/>
    </row>
    <row r="105">
      <c r="L105" s="42"/>
    </row>
    <row r="106">
      <c r="L106" s="42"/>
    </row>
    <row r="107">
      <c r="L107" s="42"/>
    </row>
    <row r="108">
      <c r="L108" s="42"/>
    </row>
    <row r="109">
      <c r="L109" s="42"/>
    </row>
    <row r="110">
      <c r="L110" s="42"/>
    </row>
    <row r="111">
      <c r="L111" s="42"/>
    </row>
    <row r="112">
      <c r="L112" s="42"/>
    </row>
    <row r="113">
      <c r="L113" s="42"/>
    </row>
    <row r="114">
      <c r="L114" s="42"/>
    </row>
    <row r="115">
      <c r="L115" s="42"/>
    </row>
    <row r="116">
      <c r="L116" s="42"/>
    </row>
    <row r="117">
      <c r="L117" s="42"/>
    </row>
    <row r="118">
      <c r="L118" s="42"/>
    </row>
    <row r="119">
      <c r="L119" s="42"/>
    </row>
    <row r="120">
      <c r="L120" s="42"/>
    </row>
    <row r="121">
      <c r="L121" s="42"/>
    </row>
    <row r="122">
      <c r="L122" s="42"/>
    </row>
    <row r="123">
      <c r="L123" s="42"/>
    </row>
    <row r="124">
      <c r="L124" s="42"/>
    </row>
    <row r="125">
      <c r="L125" s="42"/>
    </row>
    <row r="126">
      <c r="L126" s="42"/>
    </row>
    <row r="127">
      <c r="L127" s="42"/>
    </row>
    <row r="128">
      <c r="L128" s="42"/>
    </row>
    <row r="129">
      <c r="L129" s="42"/>
    </row>
    <row r="130">
      <c r="L130" s="42"/>
    </row>
    <row r="131">
      <c r="L131" s="42"/>
    </row>
    <row r="132">
      <c r="L132" s="42"/>
    </row>
    <row r="133">
      <c r="L133" s="42"/>
    </row>
    <row r="134">
      <c r="L134" s="42"/>
    </row>
    <row r="135">
      <c r="L135" s="42"/>
    </row>
    <row r="136">
      <c r="L136" s="42"/>
    </row>
    <row r="137">
      <c r="L137" s="42"/>
    </row>
    <row r="138">
      <c r="L138" s="42"/>
    </row>
    <row r="139">
      <c r="L139" s="42"/>
    </row>
    <row r="140">
      <c r="L140" s="42"/>
    </row>
    <row r="141">
      <c r="L141" s="42"/>
    </row>
    <row r="142">
      <c r="L142" s="42"/>
    </row>
    <row r="143">
      <c r="L143" s="42"/>
    </row>
    <row r="144">
      <c r="L144" s="42"/>
    </row>
    <row r="145">
      <c r="L145" s="42"/>
    </row>
    <row r="146">
      <c r="L146" s="42"/>
    </row>
    <row r="147">
      <c r="L147" s="42"/>
    </row>
    <row r="148">
      <c r="L148" s="42"/>
    </row>
    <row r="149">
      <c r="L149" s="42"/>
    </row>
    <row r="150">
      <c r="L150" s="42"/>
    </row>
    <row r="151">
      <c r="L151" s="42"/>
    </row>
    <row r="152">
      <c r="L152" s="42"/>
    </row>
    <row r="153">
      <c r="L153" s="42"/>
    </row>
    <row r="154">
      <c r="L154" s="42"/>
    </row>
    <row r="155">
      <c r="L155" s="42"/>
    </row>
    <row r="156">
      <c r="L156" s="42"/>
    </row>
    <row r="157">
      <c r="L157" s="42"/>
    </row>
    <row r="158">
      <c r="L158" s="42"/>
    </row>
    <row r="159">
      <c r="L159" s="42"/>
    </row>
    <row r="160">
      <c r="L160" s="42"/>
    </row>
    <row r="161">
      <c r="L161" s="42"/>
    </row>
    <row r="162">
      <c r="L162" s="42"/>
    </row>
    <row r="163">
      <c r="L163" s="42"/>
    </row>
    <row r="164">
      <c r="L164" s="42"/>
    </row>
    <row r="165">
      <c r="L165" s="42"/>
    </row>
    <row r="166">
      <c r="L166" s="42"/>
    </row>
    <row r="167">
      <c r="L167" s="42"/>
    </row>
    <row r="168">
      <c r="L168" s="42"/>
    </row>
    <row r="169">
      <c r="L169" s="42"/>
    </row>
    <row r="170">
      <c r="L170" s="42"/>
    </row>
    <row r="171">
      <c r="L171" s="42"/>
    </row>
    <row r="172">
      <c r="L172" s="42"/>
    </row>
    <row r="173">
      <c r="L173" s="42"/>
    </row>
    <row r="174">
      <c r="L174" s="42"/>
    </row>
    <row r="175">
      <c r="L175" s="42"/>
    </row>
    <row r="176">
      <c r="L176" s="42"/>
    </row>
    <row r="177">
      <c r="L177" s="42"/>
    </row>
    <row r="178">
      <c r="L178" s="42"/>
    </row>
    <row r="179">
      <c r="L179" s="42"/>
    </row>
    <row r="180">
      <c r="L180" s="42"/>
    </row>
    <row r="181">
      <c r="L181" s="42"/>
    </row>
    <row r="182">
      <c r="L182" s="42"/>
    </row>
    <row r="183">
      <c r="L183" s="42"/>
    </row>
    <row r="184">
      <c r="L184" s="42"/>
    </row>
    <row r="185">
      <c r="L185" s="42"/>
    </row>
    <row r="186">
      <c r="L186" s="42"/>
    </row>
    <row r="187">
      <c r="L187" s="42"/>
    </row>
    <row r="188">
      <c r="L188" s="42"/>
    </row>
    <row r="189">
      <c r="L189" s="42"/>
    </row>
    <row r="190">
      <c r="L190" s="42"/>
    </row>
    <row r="191">
      <c r="L191" s="42"/>
    </row>
    <row r="192">
      <c r="L192" s="42"/>
    </row>
    <row r="193">
      <c r="L193" s="42"/>
    </row>
    <row r="194">
      <c r="L194" s="42"/>
    </row>
    <row r="195">
      <c r="L195" s="42"/>
    </row>
    <row r="196">
      <c r="L196" s="42"/>
    </row>
    <row r="197">
      <c r="L197" s="42"/>
    </row>
    <row r="198">
      <c r="L198" s="42"/>
    </row>
    <row r="199">
      <c r="L199" s="42"/>
    </row>
    <row r="200">
      <c r="L200" s="42"/>
    </row>
    <row r="201">
      <c r="L201" s="42"/>
    </row>
    <row r="202">
      <c r="L202" s="42"/>
    </row>
    <row r="203">
      <c r="L203" s="42"/>
    </row>
    <row r="204">
      <c r="L204" s="42"/>
    </row>
    <row r="205">
      <c r="L205" s="42"/>
    </row>
    <row r="206">
      <c r="L206" s="42"/>
    </row>
    <row r="207">
      <c r="L207" s="42"/>
    </row>
    <row r="208">
      <c r="L208" s="42"/>
    </row>
    <row r="209">
      <c r="L209" s="42"/>
    </row>
    <row r="210">
      <c r="L210" s="42"/>
    </row>
    <row r="211">
      <c r="L211" s="42"/>
    </row>
    <row r="212">
      <c r="L212" s="42"/>
    </row>
    <row r="213">
      <c r="L213" s="42"/>
    </row>
    <row r="214">
      <c r="L214" s="42"/>
    </row>
    <row r="215">
      <c r="L215" s="42"/>
    </row>
    <row r="216">
      <c r="L216" s="42"/>
    </row>
    <row r="217">
      <c r="L217" s="42"/>
    </row>
    <row r="218">
      <c r="L218" s="42"/>
    </row>
    <row r="219">
      <c r="L219" s="42"/>
    </row>
    <row r="220">
      <c r="L220" s="42"/>
    </row>
    <row r="221">
      <c r="L221" s="42"/>
    </row>
    <row r="222">
      <c r="L222" s="42"/>
    </row>
    <row r="223">
      <c r="L223" s="42"/>
    </row>
    <row r="224">
      <c r="L224" s="42"/>
    </row>
    <row r="225">
      <c r="L225" s="42"/>
    </row>
    <row r="226">
      <c r="L226" s="42"/>
    </row>
    <row r="227">
      <c r="L227" s="42"/>
    </row>
    <row r="228">
      <c r="L228" s="42"/>
    </row>
    <row r="229">
      <c r="L229" s="42"/>
    </row>
    <row r="230">
      <c r="L230" s="42"/>
    </row>
    <row r="231">
      <c r="L231" s="42"/>
    </row>
    <row r="232">
      <c r="L232" s="42"/>
    </row>
    <row r="233">
      <c r="L233" s="42"/>
    </row>
    <row r="234">
      <c r="L234" s="42"/>
    </row>
    <row r="235">
      <c r="L235" s="42"/>
    </row>
    <row r="236">
      <c r="L236" s="42"/>
    </row>
    <row r="237">
      <c r="L237" s="42"/>
    </row>
    <row r="238">
      <c r="L238" s="42"/>
    </row>
    <row r="239">
      <c r="L239" s="42"/>
    </row>
    <row r="240">
      <c r="L240" s="42"/>
    </row>
    <row r="241">
      <c r="L241" s="42"/>
    </row>
    <row r="242">
      <c r="L242" s="42"/>
    </row>
    <row r="243">
      <c r="L243" s="42"/>
    </row>
    <row r="244">
      <c r="L244" s="42"/>
    </row>
    <row r="245">
      <c r="L245" s="42"/>
    </row>
    <row r="246">
      <c r="L246" s="42"/>
    </row>
    <row r="247">
      <c r="L247" s="42"/>
    </row>
    <row r="248">
      <c r="L248" s="42"/>
    </row>
    <row r="249">
      <c r="L249" s="42"/>
    </row>
    <row r="250">
      <c r="L250" s="42"/>
    </row>
    <row r="251">
      <c r="L251" s="42"/>
    </row>
    <row r="252">
      <c r="L252" s="42"/>
    </row>
    <row r="253">
      <c r="L253" s="42"/>
    </row>
    <row r="254">
      <c r="L254" s="42"/>
    </row>
    <row r="255">
      <c r="L255" s="42"/>
    </row>
    <row r="256">
      <c r="L256" s="42"/>
    </row>
    <row r="257">
      <c r="L257" s="42"/>
    </row>
    <row r="258">
      <c r="L258" s="42"/>
    </row>
    <row r="259">
      <c r="L259" s="42"/>
    </row>
    <row r="260">
      <c r="L260" s="42"/>
    </row>
    <row r="261">
      <c r="L261" s="42"/>
    </row>
    <row r="262">
      <c r="L262" s="42"/>
    </row>
    <row r="263">
      <c r="L263" s="42"/>
    </row>
    <row r="264">
      <c r="L264" s="42"/>
    </row>
    <row r="265">
      <c r="L265" s="42"/>
    </row>
    <row r="266">
      <c r="L266" s="42"/>
    </row>
    <row r="267">
      <c r="L267" s="42"/>
    </row>
    <row r="268">
      <c r="L268" s="42"/>
    </row>
    <row r="269">
      <c r="L269" s="42"/>
    </row>
    <row r="270">
      <c r="L270" s="42"/>
    </row>
    <row r="271">
      <c r="L271" s="42"/>
    </row>
    <row r="272">
      <c r="L272" s="42"/>
    </row>
    <row r="273">
      <c r="L273" s="42"/>
    </row>
    <row r="274">
      <c r="L274" s="42"/>
    </row>
    <row r="275">
      <c r="L275" s="42"/>
    </row>
    <row r="276">
      <c r="L276" s="42"/>
    </row>
    <row r="277">
      <c r="L277" s="42"/>
    </row>
    <row r="278">
      <c r="L278" s="42"/>
    </row>
    <row r="279">
      <c r="L279" s="42"/>
    </row>
    <row r="280">
      <c r="L280" s="42"/>
    </row>
    <row r="281">
      <c r="L281" s="42"/>
    </row>
    <row r="282">
      <c r="L282" s="42"/>
    </row>
    <row r="283">
      <c r="L283" s="42"/>
    </row>
    <row r="284">
      <c r="L284" s="42"/>
    </row>
    <row r="285">
      <c r="L285" s="42"/>
    </row>
    <row r="286">
      <c r="L286" s="42"/>
    </row>
    <row r="287">
      <c r="L287" s="42"/>
    </row>
    <row r="288">
      <c r="L288" s="42"/>
    </row>
    <row r="289">
      <c r="L289" s="42"/>
    </row>
    <row r="290">
      <c r="L290" s="42"/>
    </row>
    <row r="291">
      <c r="L291" s="42"/>
    </row>
    <row r="292">
      <c r="L292" s="42"/>
    </row>
    <row r="293">
      <c r="L293" s="42"/>
    </row>
    <row r="294">
      <c r="L294" s="42"/>
    </row>
    <row r="295">
      <c r="L295" s="42"/>
    </row>
    <row r="296">
      <c r="L296" s="42"/>
    </row>
    <row r="297">
      <c r="L297" s="42"/>
    </row>
    <row r="298">
      <c r="L298" s="42"/>
    </row>
    <row r="299">
      <c r="L299" s="42"/>
    </row>
    <row r="300">
      <c r="L300" s="42"/>
    </row>
  </sheetData>
  <mergeCells count="5">
    <mergeCell ref="A2:O2"/>
    <mergeCell ref="A4:K4"/>
    <mergeCell ref="M4:P4"/>
    <mergeCell ref="A13:K13"/>
    <mergeCell ref="M13:P13"/>
  </mergeCells>
  <conditionalFormatting sqref="M13:P13">
    <cfRule type="cellIs" dxfId="0" priority="1" stopIfTrue="1" operator="greaterThan">
      <formula>0</formula>
    </cfRule>
  </conditionalFormatting>
  <conditionalFormatting sqref="M13:P13">
    <cfRule type="cellIs" dxfId="1" priority="2" stopIfTrue="1" operator="lessThanOrEqual">
      <formula>0</formula>
    </cfRule>
  </conditionalFormatting>
  <hyperlinks>
    <hyperlink display="◀ Master" location="Master!A1" ref="P2"/>
  </hyperlin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2.63"/>
    <col customWidth="1" min="2" max="2" width="11.38"/>
    <col customWidth="1" min="3" max="3" width="11.13"/>
    <col customWidth="1" min="4" max="4" width="22.63"/>
    <col customWidth="1" min="5" max="5" width="10.13"/>
    <col customWidth="1" min="6" max="6" width="9.63"/>
    <col customWidth="1" min="7" max="7" width="13.63"/>
    <col customWidth="1" min="8" max="8" width="11.88"/>
    <col customWidth="1" min="9" max="9" width="7.63"/>
    <col customWidth="1" min="10" max="10" width="10.88"/>
    <col customWidth="1" min="11" max="11" width="15.38"/>
    <col customWidth="1" min="12" max="12" width="1.38"/>
    <col customWidth="1" min="13" max="13" width="12.63"/>
    <col customWidth="1" min="14" max="14" width="14.5"/>
    <col customWidth="1" min="15" max="15" width="10.38"/>
    <col customWidth="1" min="16" max="16" width="26.38"/>
  </cols>
  <sheetData>
    <row r="1" ht="6.0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4"/>
      <c r="M1" s="33"/>
      <c r="N1" s="33"/>
      <c r="O1" s="33"/>
      <c r="P1" s="33"/>
    </row>
    <row r="2" ht="33.0" customHeight="1">
      <c r="A2" s="35" t="s">
        <v>89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7" t="s">
        <v>25</v>
      </c>
    </row>
    <row r="3" ht="7.5" customHeight="1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4"/>
      <c r="M3" s="33"/>
      <c r="N3" s="33"/>
      <c r="O3" s="33"/>
      <c r="P3" s="33"/>
    </row>
    <row r="4" ht="16.5" customHeight="1">
      <c r="A4" s="38" t="s">
        <v>26</v>
      </c>
      <c r="L4" s="34"/>
      <c r="M4" s="39" t="s">
        <v>27</v>
      </c>
    </row>
    <row r="5" ht="21.0" customHeight="1">
      <c r="A5" s="40" t="s">
        <v>28</v>
      </c>
      <c r="B5" s="40" t="s">
        <v>29</v>
      </c>
      <c r="C5" s="40" t="s">
        <v>30</v>
      </c>
      <c r="D5" s="40" t="s">
        <v>31</v>
      </c>
      <c r="E5" s="40" t="s">
        <v>32</v>
      </c>
      <c r="F5" s="40" t="s">
        <v>33</v>
      </c>
      <c r="G5" s="40" t="s">
        <v>34</v>
      </c>
      <c r="H5" s="40" t="s">
        <v>35</v>
      </c>
      <c r="I5" s="40" t="s">
        <v>36</v>
      </c>
      <c r="J5" s="40" t="s">
        <v>37</v>
      </c>
      <c r="K5" s="41" t="s">
        <v>38</v>
      </c>
      <c r="L5" s="42"/>
      <c r="M5" s="43" t="s">
        <v>28</v>
      </c>
      <c r="N5" s="44" t="s">
        <v>34</v>
      </c>
      <c r="O5" s="44" t="s">
        <v>39</v>
      </c>
      <c r="P5" s="44" t="s">
        <v>40</v>
      </c>
    </row>
    <row r="6" ht="18.75" customHeight="1">
      <c r="A6" s="45">
        <v>46055.0</v>
      </c>
      <c r="B6" s="46" t="s">
        <v>90</v>
      </c>
      <c r="C6" s="47">
        <v>710.0</v>
      </c>
      <c r="D6" s="48" t="s">
        <v>54</v>
      </c>
      <c r="E6" s="49">
        <v>140.0</v>
      </c>
      <c r="F6" s="49">
        <v>826.0</v>
      </c>
      <c r="G6" s="49">
        <v>115640.0</v>
      </c>
      <c r="H6" s="49">
        <v>1800.0</v>
      </c>
      <c r="I6" s="49">
        <v>18.0</v>
      </c>
      <c r="J6" s="49">
        <v>21139.0</v>
      </c>
      <c r="K6" s="50">
        <f t="shared" ref="K6:K7" si="1">G6+H6+J6</f>
        <v>138579</v>
      </c>
      <c r="L6" s="42"/>
      <c r="M6" s="51" t="s">
        <v>2</v>
      </c>
      <c r="N6" s="52">
        <v>60000.0</v>
      </c>
      <c r="O6" s="53"/>
      <c r="P6" s="54"/>
    </row>
    <row r="7" ht="18.75" customHeight="1">
      <c r="A7" s="55">
        <v>46124.0</v>
      </c>
      <c r="B7" s="56" t="s">
        <v>91</v>
      </c>
      <c r="C7" s="57">
        <v>742.0</v>
      </c>
      <c r="D7" s="58" t="s">
        <v>42</v>
      </c>
      <c r="E7" s="59">
        <v>120.0</v>
      </c>
      <c r="F7" s="59">
        <v>850.0</v>
      </c>
      <c r="G7" s="59">
        <v>102000.0</v>
      </c>
      <c r="H7" s="59">
        <v>1700.0</v>
      </c>
      <c r="I7" s="60"/>
      <c r="J7" s="60"/>
      <c r="K7" s="60">
        <f t="shared" si="1"/>
        <v>103700</v>
      </c>
      <c r="L7" s="42"/>
      <c r="M7" s="61">
        <v>46056.0</v>
      </c>
      <c r="N7" s="62">
        <v>20000.0</v>
      </c>
      <c r="O7" s="63" t="s">
        <v>49</v>
      </c>
      <c r="P7" s="64" t="s">
        <v>92</v>
      </c>
    </row>
    <row r="8" ht="18.75" customHeight="1">
      <c r="A8" s="117"/>
      <c r="B8" s="118"/>
      <c r="C8" s="118"/>
      <c r="D8" s="119"/>
      <c r="E8" s="110"/>
      <c r="F8" s="110"/>
      <c r="G8" s="110"/>
      <c r="H8" s="110"/>
      <c r="I8" s="110"/>
      <c r="J8" s="110"/>
      <c r="K8" s="111"/>
      <c r="L8" s="42"/>
      <c r="M8" s="71">
        <v>46130.0</v>
      </c>
      <c r="N8" s="72">
        <v>22000.0</v>
      </c>
      <c r="O8" s="73" t="s">
        <v>44</v>
      </c>
      <c r="P8" s="74" t="s">
        <v>93</v>
      </c>
    </row>
    <row r="9" ht="18.75" customHeight="1">
      <c r="A9" s="101"/>
      <c r="B9" s="102"/>
      <c r="C9" s="102"/>
      <c r="D9" s="94"/>
      <c r="E9" s="103"/>
      <c r="F9" s="103"/>
      <c r="G9" s="103"/>
      <c r="H9" s="103"/>
      <c r="I9" s="103"/>
      <c r="J9" s="103"/>
      <c r="K9" s="104"/>
      <c r="L9" s="42"/>
      <c r="M9" s="61">
        <v>46136.0</v>
      </c>
      <c r="N9" s="62">
        <v>22000.0</v>
      </c>
      <c r="O9" s="63" t="s">
        <v>65</v>
      </c>
      <c r="P9" s="94"/>
    </row>
    <row r="10" ht="21.0" customHeight="1">
      <c r="A10" s="120"/>
      <c r="B10" s="121"/>
      <c r="E10" s="121"/>
      <c r="G10" s="121"/>
      <c r="H10" s="121"/>
      <c r="K10" s="121"/>
      <c r="L10" s="42"/>
      <c r="M10" s="120"/>
      <c r="N10" s="121"/>
    </row>
    <row r="11" ht="21.0" customHeight="1">
      <c r="A11" s="84" t="s">
        <v>55</v>
      </c>
      <c r="B11" s="85">
        <f>IFERROR(COUNTIF(K6:K7,"&gt;0"),0)</f>
        <v>2</v>
      </c>
      <c r="C11" s="86"/>
      <c r="D11" s="86"/>
      <c r="E11" s="85">
        <f>IFERROR(SUM(E6:E7),0)</f>
        <v>260</v>
      </c>
      <c r="F11" s="86"/>
      <c r="G11" s="85">
        <f t="shared" ref="G11:H11" si="2">IFERROR(SUM(G6:G7),0)</f>
        <v>217640</v>
      </c>
      <c r="H11" s="85">
        <f t="shared" si="2"/>
        <v>3500</v>
      </c>
      <c r="I11" s="86"/>
      <c r="J11" s="86"/>
      <c r="K11" s="85">
        <f>IFERROR(SUM(K6:K7),0)</f>
        <v>242279</v>
      </c>
      <c r="L11" s="42"/>
      <c r="M11" s="87" t="s">
        <v>56</v>
      </c>
      <c r="N11" s="85">
        <f>IFERROR(SUM(N7:N9),0)</f>
        <v>64000</v>
      </c>
      <c r="O11" s="88"/>
      <c r="P11" s="89"/>
    </row>
    <row r="12" ht="30.0" customHeight="1">
      <c r="A12" s="120"/>
      <c r="B12" s="120"/>
      <c r="C12" s="120"/>
      <c r="D12" s="120"/>
      <c r="E12" s="120"/>
      <c r="F12" s="120"/>
      <c r="G12" s="120"/>
      <c r="H12" s="120"/>
      <c r="I12" s="120"/>
      <c r="J12" s="120"/>
      <c r="K12" s="120"/>
      <c r="L12" s="42"/>
      <c r="M12" s="122"/>
      <c r="N12" s="122"/>
      <c r="O12" s="122"/>
      <c r="P12" s="122"/>
    </row>
    <row r="13" ht="30.0" customHeight="1">
      <c r="A13" s="90" t="s">
        <v>57</v>
      </c>
      <c r="B13" s="36"/>
      <c r="C13" s="36"/>
      <c r="D13" s="36"/>
      <c r="E13" s="36"/>
      <c r="F13" s="36"/>
      <c r="G13" s="36"/>
      <c r="H13" s="36"/>
      <c r="I13" s="36"/>
      <c r="J13" s="36"/>
      <c r="K13" s="91"/>
      <c r="L13" s="42"/>
      <c r="M13" s="92">
        <f>N6+K11-N11</f>
        <v>238279</v>
      </c>
      <c r="N13" s="36"/>
      <c r="O13" s="36"/>
      <c r="P13" s="91"/>
    </row>
    <row r="14">
      <c r="L14" s="42"/>
    </row>
    <row r="15">
      <c r="L15" s="42"/>
    </row>
    <row r="16">
      <c r="L16" s="42"/>
    </row>
    <row r="17">
      <c r="L17" s="42"/>
    </row>
    <row r="18">
      <c r="L18" s="42"/>
    </row>
    <row r="19">
      <c r="L19" s="42"/>
    </row>
    <row r="20">
      <c r="L20" s="42"/>
    </row>
    <row r="21">
      <c r="L21" s="42"/>
    </row>
    <row r="22">
      <c r="L22" s="42"/>
    </row>
    <row r="23">
      <c r="L23" s="42"/>
    </row>
    <row r="24">
      <c r="L24" s="42"/>
    </row>
    <row r="25">
      <c r="L25" s="42"/>
    </row>
    <row r="26">
      <c r="L26" s="42"/>
    </row>
    <row r="27">
      <c r="L27" s="42"/>
    </row>
    <row r="28">
      <c r="L28" s="42"/>
    </row>
    <row r="29">
      <c r="L29" s="42"/>
    </row>
    <row r="30">
      <c r="L30" s="42"/>
    </row>
    <row r="31">
      <c r="L31" s="42"/>
    </row>
    <row r="32">
      <c r="L32" s="42"/>
    </row>
    <row r="33">
      <c r="L33" s="42"/>
    </row>
    <row r="34">
      <c r="L34" s="42"/>
    </row>
    <row r="35">
      <c r="L35" s="42"/>
    </row>
    <row r="36">
      <c r="L36" s="42"/>
    </row>
    <row r="37">
      <c r="L37" s="42"/>
    </row>
    <row r="38">
      <c r="L38" s="42"/>
    </row>
    <row r="39">
      <c r="L39" s="42"/>
    </row>
    <row r="40">
      <c r="L40" s="42"/>
    </row>
    <row r="41">
      <c r="L41" s="42"/>
    </row>
    <row r="42">
      <c r="L42" s="42"/>
    </row>
    <row r="43">
      <c r="L43" s="42"/>
    </row>
    <row r="44">
      <c r="L44" s="42"/>
    </row>
    <row r="45">
      <c r="L45" s="42"/>
    </row>
    <row r="46">
      <c r="L46" s="42"/>
    </row>
    <row r="47">
      <c r="L47" s="42"/>
    </row>
    <row r="48">
      <c r="L48" s="42"/>
    </row>
    <row r="49">
      <c r="L49" s="42"/>
    </row>
    <row r="50">
      <c r="L50" s="42"/>
    </row>
    <row r="51">
      <c r="L51" s="42"/>
    </row>
    <row r="52">
      <c r="L52" s="42"/>
    </row>
    <row r="53">
      <c r="L53" s="42"/>
    </row>
    <row r="54">
      <c r="L54" s="42"/>
    </row>
    <row r="55">
      <c r="L55" s="42"/>
    </row>
    <row r="56">
      <c r="L56" s="42"/>
    </row>
    <row r="57">
      <c r="L57" s="42"/>
    </row>
    <row r="58">
      <c r="L58" s="42"/>
    </row>
    <row r="59">
      <c r="L59" s="42"/>
    </row>
    <row r="60">
      <c r="L60" s="42"/>
    </row>
    <row r="61">
      <c r="L61" s="42"/>
    </row>
    <row r="62">
      <c r="L62" s="42"/>
    </row>
    <row r="63">
      <c r="L63" s="42"/>
    </row>
    <row r="64">
      <c r="L64" s="42"/>
    </row>
    <row r="65">
      <c r="L65" s="42"/>
    </row>
    <row r="66">
      <c r="L66" s="42"/>
    </row>
    <row r="67">
      <c r="L67" s="42"/>
    </row>
    <row r="68">
      <c r="L68" s="42"/>
    </row>
    <row r="69">
      <c r="L69" s="42"/>
    </row>
    <row r="70">
      <c r="L70" s="42"/>
    </row>
    <row r="71">
      <c r="L71" s="42"/>
    </row>
    <row r="72">
      <c r="L72" s="42"/>
    </row>
    <row r="73">
      <c r="L73" s="42"/>
    </row>
    <row r="74">
      <c r="L74" s="42"/>
    </row>
    <row r="75">
      <c r="L75" s="42"/>
    </row>
    <row r="76">
      <c r="L76" s="42"/>
    </row>
    <row r="77">
      <c r="L77" s="42"/>
    </row>
    <row r="78">
      <c r="L78" s="42"/>
    </row>
    <row r="79">
      <c r="L79" s="42"/>
    </row>
    <row r="80">
      <c r="L80" s="42"/>
    </row>
    <row r="81">
      <c r="L81" s="42"/>
    </row>
    <row r="82">
      <c r="L82" s="42"/>
    </row>
    <row r="83">
      <c r="L83" s="42"/>
    </row>
    <row r="84">
      <c r="L84" s="42"/>
    </row>
    <row r="85">
      <c r="L85" s="42"/>
    </row>
    <row r="86">
      <c r="L86" s="42"/>
    </row>
    <row r="87">
      <c r="L87" s="42"/>
    </row>
    <row r="88">
      <c r="L88" s="42"/>
    </row>
    <row r="89">
      <c r="L89" s="42"/>
    </row>
    <row r="90">
      <c r="L90" s="42"/>
    </row>
    <row r="91">
      <c r="L91" s="42"/>
    </row>
    <row r="92">
      <c r="L92" s="42"/>
    </row>
    <row r="93">
      <c r="L93" s="42"/>
    </row>
    <row r="94">
      <c r="L94" s="42"/>
    </row>
    <row r="95">
      <c r="L95" s="42"/>
    </row>
    <row r="96">
      <c r="L96" s="42"/>
    </row>
    <row r="97">
      <c r="L97" s="42"/>
    </row>
    <row r="98">
      <c r="L98" s="42"/>
    </row>
    <row r="99">
      <c r="L99" s="42"/>
    </row>
    <row r="100">
      <c r="L100" s="42"/>
    </row>
    <row r="101">
      <c r="L101" s="42"/>
    </row>
    <row r="102">
      <c r="L102" s="42"/>
    </row>
    <row r="103">
      <c r="L103" s="42"/>
    </row>
    <row r="104">
      <c r="L104" s="42"/>
    </row>
    <row r="105">
      <c r="L105" s="42"/>
    </row>
    <row r="106">
      <c r="L106" s="42"/>
    </row>
    <row r="107">
      <c r="L107" s="42"/>
    </row>
    <row r="108">
      <c r="L108" s="42"/>
    </row>
    <row r="109">
      <c r="L109" s="42"/>
    </row>
    <row r="110">
      <c r="L110" s="42"/>
    </row>
    <row r="111">
      <c r="L111" s="42"/>
    </row>
    <row r="112">
      <c r="L112" s="42"/>
    </row>
    <row r="113">
      <c r="L113" s="42"/>
    </row>
    <row r="114">
      <c r="L114" s="42"/>
    </row>
    <row r="115">
      <c r="L115" s="42"/>
    </row>
    <row r="116">
      <c r="L116" s="42"/>
    </row>
    <row r="117">
      <c r="L117" s="42"/>
    </row>
    <row r="118">
      <c r="L118" s="42"/>
    </row>
    <row r="119">
      <c r="L119" s="42"/>
    </row>
    <row r="120">
      <c r="L120" s="42"/>
    </row>
    <row r="121">
      <c r="L121" s="42"/>
    </row>
    <row r="122">
      <c r="L122" s="42"/>
    </row>
    <row r="123">
      <c r="L123" s="42"/>
    </row>
    <row r="124">
      <c r="L124" s="42"/>
    </row>
    <row r="125">
      <c r="L125" s="42"/>
    </row>
    <row r="126">
      <c r="L126" s="42"/>
    </row>
    <row r="127">
      <c r="L127" s="42"/>
    </row>
    <row r="128">
      <c r="L128" s="42"/>
    </row>
    <row r="129">
      <c r="L129" s="42"/>
    </row>
    <row r="130">
      <c r="L130" s="42"/>
    </row>
    <row r="131">
      <c r="L131" s="42"/>
    </row>
    <row r="132">
      <c r="L132" s="42"/>
    </row>
    <row r="133">
      <c r="L133" s="42"/>
    </row>
    <row r="134">
      <c r="L134" s="42"/>
    </row>
    <row r="135">
      <c r="L135" s="42"/>
    </row>
    <row r="136">
      <c r="L136" s="42"/>
    </row>
    <row r="137">
      <c r="L137" s="42"/>
    </row>
    <row r="138">
      <c r="L138" s="42"/>
    </row>
    <row r="139">
      <c r="L139" s="42"/>
    </row>
    <row r="140">
      <c r="L140" s="42"/>
    </row>
    <row r="141">
      <c r="L141" s="42"/>
    </row>
    <row r="142">
      <c r="L142" s="42"/>
    </row>
    <row r="143">
      <c r="L143" s="42"/>
    </row>
    <row r="144">
      <c r="L144" s="42"/>
    </row>
    <row r="145">
      <c r="L145" s="42"/>
    </row>
    <row r="146">
      <c r="L146" s="42"/>
    </row>
    <row r="147">
      <c r="L147" s="42"/>
    </row>
    <row r="148">
      <c r="L148" s="42"/>
    </row>
    <row r="149">
      <c r="L149" s="42"/>
    </row>
    <row r="150">
      <c r="L150" s="42"/>
    </row>
    <row r="151">
      <c r="L151" s="42"/>
    </row>
    <row r="152">
      <c r="L152" s="42"/>
    </row>
    <row r="153">
      <c r="L153" s="42"/>
    </row>
    <row r="154">
      <c r="L154" s="42"/>
    </row>
    <row r="155">
      <c r="L155" s="42"/>
    </row>
    <row r="156">
      <c r="L156" s="42"/>
    </row>
    <row r="157">
      <c r="L157" s="42"/>
    </row>
    <row r="158">
      <c r="L158" s="42"/>
    </row>
    <row r="159">
      <c r="L159" s="42"/>
    </row>
    <row r="160">
      <c r="L160" s="42"/>
    </row>
    <row r="161">
      <c r="L161" s="42"/>
    </row>
    <row r="162">
      <c r="L162" s="42"/>
    </row>
    <row r="163">
      <c r="L163" s="42"/>
    </row>
    <row r="164">
      <c r="L164" s="42"/>
    </row>
    <row r="165">
      <c r="L165" s="42"/>
    </row>
    <row r="166">
      <c r="L166" s="42"/>
    </row>
    <row r="167">
      <c r="L167" s="42"/>
    </row>
    <row r="168">
      <c r="L168" s="42"/>
    </row>
    <row r="169">
      <c r="L169" s="42"/>
    </row>
    <row r="170">
      <c r="L170" s="42"/>
    </row>
    <row r="171">
      <c r="L171" s="42"/>
    </row>
    <row r="172">
      <c r="L172" s="42"/>
    </row>
    <row r="173">
      <c r="L173" s="42"/>
    </row>
    <row r="174">
      <c r="L174" s="42"/>
    </row>
    <row r="175">
      <c r="L175" s="42"/>
    </row>
    <row r="176">
      <c r="L176" s="42"/>
    </row>
    <row r="177">
      <c r="L177" s="42"/>
    </row>
    <row r="178">
      <c r="L178" s="42"/>
    </row>
    <row r="179">
      <c r="L179" s="42"/>
    </row>
    <row r="180">
      <c r="L180" s="42"/>
    </row>
    <row r="181">
      <c r="L181" s="42"/>
    </row>
    <row r="182">
      <c r="L182" s="42"/>
    </row>
    <row r="183">
      <c r="L183" s="42"/>
    </row>
    <row r="184">
      <c r="L184" s="42"/>
    </row>
    <row r="185">
      <c r="L185" s="42"/>
    </row>
    <row r="186">
      <c r="L186" s="42"/>
    </row>
    <row r="187">
      <c r="L187" s="42"/>
    </row>
    <row r="188">
      <c r="L188" s="42"/>
    </row>
    <row r="189">
      <c r="L189" s="42"/>
    </row>
    <row r="190">
      <c r="L190" s="42"/>
    </row>
    <row r="191">
      <c r="L191" s="42"/>
    </row>
    <row r="192">
      <c r="L192" s="42"/>
    </row>
    <row r="193">
      <c r="L193" s="42"/>
    </row>
    <row r="194">
      <c r="L194" s="42"/>
    </row>
    <row r="195">
      <c r="L195" s="42"/>
    </row>
    <row r="196">
      <c r="L196" s="42"/>
    </row>
    <row r="197">
      <c r="L197" s="42"/>
    </row>
    <row r="198">
      <c r="L198" s="42"/>
    </row>
    <row r="199">
      <c r="L199" s="42"/>
    </row>
    <row r="200">
      <c r="L200" s="42"/>
    </row>
    <row r="201">
      <c r="L201" s="42"/>
    </row>
    <row r="202">
      <c r="L202" s="42"/>
    </row>
    <row r="203">
      <c r="L203" s="42"/>
    </row>
    <row r="204">
      <c r="L204" s="42"/>
    </row>
    <row r="205">
      <c r="L205" s="42"/>
    </row>
    <row r="206">
      <c r="L206" s="42"/>
    </row>
    <row r="207">
      <c r="L207" s="42"/>
    </row>
    <row r="208">
      <c r="L208" s="42"/>
    </row>
    <row r="209">
      <c r="L209" s="42"/>
    </row>
    <row r="210">
      <c r="L210" s="42"/>
    </row>
    <row r="211">
      <c r="L211" s="42"/>
    </row>
    <row r="212">
      <c r="L212" s="42"/>
    </row>
    <row r="213">
      <c r="L213" s="42"/>
    </row>
    <row r="214">
      <c r="L214" s="42"/>
    </row>
    <row r="215">
      <c r="L215" s="42"/>
    </row>
    <row r="216">
      <c r="L216" s="42"/>
    </row>
    <row r="217">
      <c r="L217" s="42"/>
    </row>
    <row r="218">
      <c r="L218" s="42"/>
    </row>
    <row r="219">
      <c r="L219" s="42"/>
    </row>
    <row r="220">
      <c r="L220" s="42"/>
    </row>
    <row r="221">
      <c r="L221" s="42"/>
    </row>
    <row r="222">
      <c r="L222" s="42"/>
    </row>
    <row r="223">
      <c r="L223" s="42"/>
    </row>
    <row r="224">
      <c r="L224" s="42"/>
    </row>
    <row r="225">
      <c r="L225" s="42"/>
    </row>
    <row r="226">
      <c r="L226" s="42"/>
    </row>
    <row r="227">
      <c r="L227" s="42"/>
    </row>
    <row r="228">
      <c r="L228" s="42"/>
    </row>
    <row r="229">
      <c r="L229" s="42"/>
    </row>
    <row r="230">
      <c r="L230" s="42"/>
    </row>
    <row r="231">
      <c r="L231" s="42"/>
    </row>
    <row r="232">
      <c r="L232" s="42"/>
    </row>
    <row r="233">
      <c r="L233" s="42"/>
    </row>
    <row r="234">
      <c r="L234" s="42"/>
    </row>
    <row r="235">
      <c r="L235" s="42"/>
    </row>
    <row r="236">
      <c r="L236" s="42"/>
    </row>
    <row r="237">
      <c r="L237" s="42"/>
    </row>
    <row r="238">
      <c r="L238" s="42"/>
    </row>
    <row r="239">
      <c r="L239" s="42"/>
    </row>
    <row r="240">
      <c r="L240" s="42"/>
    </row>
    <row r="241">
      <c r="L241" s="42"/>
    </row>
    <row r="242">
      <c r="L242" s="42"/>
    </row>
    <row r="243">
      <c r="L243" s="42"/>
    </row>
    <row r="244">
      <c r="L244" s="42"/>
    </row>
    <row r="245">
      <c r="L245" s="42"/>
    </row>
    <row r="246">
      <c r="L246" s="42"/>
    </row>
    <row r="247">
      <c r="L247" s="42"/>
    </row>
    <row r="248">
      <c r="L248" s="42"/>
    </row>
    <row r="249">
      <c r="L249" s="42"/>
    </row>
    <row r="250">
      <c r="L250" s="42"/>
    </row>
    <row r="251">
      <c r="L251" s="42"/>
    </row>
    <row r="252">
      <c r="L252" s="42"/>
    </row>
    <row r="253">
      <c r="L253" s="42"/>
    </row>
    <row r="254">
      <c r="L254" s="42"/>
    </row>
    <row r="255">
      <c r="L255" s="42"/>
    </row>
    <row r="256">
      <c r="L256" s="42"/>
    </row>
    <row r="257">
      <c r="L257" s="42"/>
    </row>
    <row r="258">
      <c r="L258" s="42"/>
    </row>
    <row r="259">
      <c r="L259" s="42"/>
    </row>
    <row r="260">
      <c r="L260" s="42"/>
    </row>
    <row r="261">
      <c r="L261" s="42"/>
    </row>
    <row r="262">
      <c r="L262" s="42"/>
    </row>
    <row r="263">
      <c r="L263" s="42"/>
    </row>
    <row r="264">
      <c r="L264" s="42"/>
    </row>
    <row r="265">
      <c r="L265" s="42"/>
    </row>
    <row r="266">
      <c r="L266" s="42"/>
    </row>
    <row r="267">
      <c r="L267" s="42"/>
    </row>
    <row r="268">
      <c r="L268" s="42"/>
    </row>
    <row r="269">
      <c r="L269" s="42"/>
    </row>
    <row r="270">
      <c r="L270" s="42"/>
    </row>
    <row r="271">
      <c r="L271" s="42"/>
    </row>
    <row r="272">
      <c r="L272" s="42"/>
    </row>
    <row r="273">
      <c r="L273" s="42"/>
    </row>
    <row r="274">
      <c r="L274" s="42"/>
    </row>
    <row r="275">
      <c r="L275" s="42"/>
    </row>
    <row r="276">
      <c r="L276" s="42"/>
    </row>
    <row r="277">
      <c r="L277" s="42"/>
    </row>
    <row r="278">
      <c r="L278" s="42"/>
    </row>
    <row r="279">
      <c r="L279" s="42"/>
    </row>
    <row r="280">
      <c r="L280" s="42"/>
    </row>
    <row r="281">
      <c r="L281" s="42"/>
    </row>
    <row r="282">
      <c r="L282" s="42"/>
    </row>
    <row r="283">
      <c r="L283" s="42"/>
    </row>
    <row r="284">
      <c r="L284" s="42"/>
    </row>
    <row r="285">
      <c r="L285" s="42"/>
    </row>
    <row r="286">
      <c r="L286" s="42"/>
    </row>
    <row r="287">
      <c r="L287" s="42"/>
    </row>
    <row r="288">
      <c r="L288" s="42"/>
    </row>
    <row r="289">
      <c r="L289" s="42"/>
    </row>
    <row r="290">
      <c r="L290" s="42"/>
    </row>
    <row r="291">
      <c r="L291" s="42"/>
    </row>
    <row r="292">
      <c r="L292" s="42"/>
    </row>
    <row r="293">
      <c r="L293" s="42"/>
    </row>
    <row r="294">
      <c r="L294" s="42"/>
    </row>
    <row r="295">
      <c r="L295" s="42"/>
    </row>
    <row r="296">
      <c r="L296" s="42"/>
    </row>
    <row r="297">
      <c r="L297" s="42"/>
    </row>
    <row r="298">
      <c r="L298" s="42"/>
    </row>
    <row r="299">
      <c r="L299" s="42"/>
    </row>
    <row r="300">
      <c r="L300" s="42"/>
    </row>
  </sheetData>
  <mergeCells count="5">
    <mergeCell ref="A2:O2"/>
    <mergeCell ref="A4:K4"/>
    <mergeCell ref="M4:P4"/>
    <mergeCell ref="A13:K13"/>
    <mergeCell ref="M13:P13"/>
  </mergeCells>
  <conditionalFormatting sqref="M13:P13">
    <cfRule type="cellIs" dxfId="0" priority="1" stopIfTrue="1" operator="greaterThan">
      <formula>0</formula>
    </cfRule>
  </conditionalFormatting>
  <conditionalFormatting sqref="M13:P13">
    <cfRule type="cellIs" dxfId="1" priority="2" stopIfTrue="1" operator="lessThanOrEqual">
      <formula>0</formula>
    </cfRule>
  </conditionalFormatting>
  <hyperlinks>
    <hyperlink display="◀ Master" location="Master!A1" ref="P2"/>
  </hyperlin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2.63"/>
    <col customWidth="1" min="2" max="2" width="11.38"/>
    <col customWidth="1" min="3" max="3" width="11.13"/>
    <col customWidth="1" min="4" max="4" width="22.63"/>
    <col customWidth="1" min="5" max="5" width="10.13"/>
    <col customWidth="1" min="6" max="6" width="9.63"/>
    <col customWidth="1" min="7" max="7" width="13.63"/>
    <col customWidth="1" min="8" max="8" width="11.88"/>
    <col customWidth="1" min="9" max="9" width="7.63"/>
    <col customWidth="1" min="10" max="10" width="10.88"/>
    <col customWidth="1" min="11" max="11" width="15.38"/>
    <col customWidth="1" min="12" max="12" width="1.38"/>
    <col customWidth="1" min="13" max="13" width="12.63"/>
    <col customWidth="1" min="14" max="14" width="14.5"/>
    <col customWidth="1" min="15" max="15" width="10.38"/>
    <col customWidth="1" min="16" max="16" width="26.38"/>
  </cols>
  <sheetData>
    <row r="1" ht="6.0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4"/>
      <c r="M1" s="33"/>
      <c r="N1" s="33"/>
      <c r="O1" s="33"/>
      <c r="P1" s="33"/>
    </row>
    <row r="2" ht="33.0" customHeight="1">
      <c r="A2" s="35" t="s">
        <v>94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7" t="s">
        <v>25</v>
      </c>
    </row>
    <row r="3" ht="7.5" customHeight="1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4"/>
      <c r="M3" s="33"/>
      <c r="N3" s="33"/>
      <c r="O3" s="33"/>
      <c r="P3" s="33"/>
    </row>
    <row r="4" ht="16.5" customHeight="1">
      <c r="A4" s="38" t="s">
        <v>26</v>
      </c>
      <c r="L4" s="34"/>
      <c r="M4" s="39" t="s">
        <v>27</v>
      </c>
    </row>
    <row r="5" ht="21.0" customHeight="1">
      <c r="A5" s="40" t="s">
        <v>28</v>
      </c>
      <c r="B5" s="40" t="s">
        <v>29</v>
      </c>
      <c r="C5" s="40" t="s">
        <v>30</v>
      </c>
      <c r="D5" s="40" t="s">
        <v>31</v>
      </c>
      <c r="E5" s="40" t="s">
        <v>32</v>
      </c>
      <c r="F5" s="40" t="s">
        <v>33</v>
      </c>
      <c r="G5" s="40" t="s">
        <v>34</v>
      </c>
      <c r="H5" s="40" t="s">
        <v>35</v>
      </c>
      <c r="I5" s="40" t="s">
        <v>36</v>
      </c>
      <c r="J5" s="40" t="s">
        <v>37</v>
      </c>
      <c r="K5" s="41" t="s">
        <v>38</v>
      </c>
      <c r="L5" s="42"/>
      <c r="M5" s="43" t="s">
        <v>28</v>
      </c>
      <c r="N5" s="44" t="s">
        <v>34</v>
      </c>
      <c r="O5" s="44" t="s">
        <v>39</v>
      </c>
      <c r="P5" s="44" t="s">
        <v>40</v>
      </c>
    </row>
    <row r="6" ht="18.75" customHeight="1">
      <c r="A6" s="45">
        <v>46061.0</v>
      </c>
      <c r="B6" s="46" t="s">
        <v>95</v>
      </c>
      <c r="C6" s="47">
        <v>718.0</v>
      </c>
      <c r="D6" s="48" t="s">
        <v>42</v>
      </c>
      <c r="E6" s="49">
        <v>110.0</v>
      </c>
      <c r="F6" s="49">
        <v>840.0</v>
      </c>
      <c r="G6" s="49">
        <v>92400.0</v>
      </c>
      <c r="H6" s="49">
        <v>2000.0</v>
      </c>
      <c r="I6" s="50"/>
      <c r="J6" s="50"/>
      <c r="K6" s="50">
        <f t="shared" ref="K6:K7" si="1">G6+H6+J6</f>
        <v>94400</v>
      </c>
      <c r="L6" s="42"/>
      <c r="M6" s="51" t="s">
        <v>2</v>
      </c>
      <c r="N6" s="52">
        <v>80000.0</v>
      </c>
      <c r="O6" s="53"/>
      <c r="P6" s="54"/>
    </row>
    <row r="7" ht="18.75" customHeight="1">
      <c r="A7" s="55">
        <v>46134.0</v>
      </c>
      <c r="B7" s="56" t="s">
        <v>96</v>
      </c>
      <c r="C7" s="57">
        <v>748.0</v>
      </c>
      <c r="D7" s="58" t="s">
        <v>42</v>
      </c>
      <c r="E7" s="59">
        <v>95.0</v>
      </c>
      <c r="F7" s="59">
        <v>852.0</v>
      </c>
      <c r="G7" s="59">
        <v>80940.0</v>
      </c>
      <c r="H7" s="59">
        <v>1200.0</v>
      </c>
      <c r="I7" s="60"/>
      <c r="J7" s="60"/>
      <c r="K7" s="60">
        <f t="shared" si="1"/>
        <v>82140</v>
      </c>
      <c r="L7" s="42"/>
      <c r="M7" s="61">
        <v>46062.0</v>
      </c>
      <c r="N7" s="62">
        <v>15000.0</v>
      </c>
      <c r="O7" s="63" t="s">
        <v>44</v>
      </c>
      <c r="P7" s="64" t="s">
        <v>76</v>
      </c>
    </row>
    <row r="8" ht="18.75" customHeight="1">
      <c r="A8" s="117"/>
      <c r="B8" s="118"/>
      <c r="C8" s="118"/>
      <c r="D8" s="119"/>
      <c r="E8" s="110"/>
      <c r="F8" s="110"/>
      <c r="G8" s="110"/>
      <c r="H8" s="110"/>
      <c r="I8" s="110"/>
      <c r="J8" s="110"/>
      <c r="K8" s="111"/>
      <c r="L8" s="42"/>
      <c r="M8" s="71">
        <v>46133.0</v>
      </c>
      <c r="N8" s="72">
        <v>10000.0</v>
      </c>
      <c r="O8" s="73" t="s">
        <v>49</v>
      </c>
      <c r="P8" s="74" t="s">
        <v>97</v>
      </c>
    </row>
    <row r="9">
      <c r="L9" s="42"/>
    </row>
    <row r="10" ht="21.0" customHeight="1">
      <c r="A10" s="84" t="s">
        <v>55</v>
      </c>
      <c r="B10" s="85">
        <f>IFERROR(COUNTIF(K6:K7,"&gt;0"),0)</f>
        <v>2</v>
      </c>
      <c r="C10" s="86"/>
      <c r="D10" s="86"/>
      <c r="E10" s="85">
        <f>IFERROR(SUM(E6:E7),0)</f>
        <v>205</v>
      </c>
      <c r="F10" s="86"/>
      <c r="G10" s="85">
        <f t="shared" ref="G10:H10" si="2">IFERROR(SUM(G6:G7),0)</f>
        <v>173340</v>
      </c>
      <c r="H10" s="85">
        <f t="shared" si="2"/>
        <v>3200</v>
      </c>
      <c r="I10" s="86"/>
      <c r="J10" s="86"/>
      <c r="K10" s="85">
        <f>IFERROR(SUM(K6:K7),0)</f>
        <v>176540</v>
      </c>
      <c r="L10" s="42"/>
      <c r="M10" s="87" t="s">
        <v>56</v>
      </c>
      <c r="N10" s="85">
        <f>IFERROR(SUM(N7:N8),0)</f>
        <v>25000</v>
      </c>
      <c r="O10" s="88"/>
      <c r="P10" s="89"/>
    </row>
    <row r="11">
      <c r="L11" s="42"/>
    </row>
    <row r="12" ht="30.0" customHeight="1">
      <c r="A12" s="90" t="s">
        <v>57</v>
      </c>
      <c r="B12" s="36"/>
      <c r="C12" s="36"/>
      <c r="D12" s="36"/>
      <c r="E12" s="36"/>
      <c r="F12" s="36"/>
      <c r="G12" s="36"/>
      <c r="H12" s="36"/>
      <c r="I12" s="36"/>
      <c r="J12" s="36"/>
      <c r="K12" s="91"/>
      <c r="L12" s="42"/>
      <c r="M12" s="92">
        <f>N6+K10-N10</f>
        <v>231540</v>
      </c>
      <c r="N12" s="36"/>
      <c r="O12" s="36"/>
      <c r="P12" s="91"/>
    </row>
    <row r="13">
      <c r="L13" s="42"/>
    </row>
    <row r="14">
      <c r="L14" s="42"/>
    </row>
    <row r="15">
      <c r="L15" s="42"/>
    </row>
    <row r="16">
      <c r="L16" s="42"/>
    </row>
    <row r="17">
      <c r="L17" s="42"/>
    </row>
    <row r="18">
      <c r="L18" s="42"/>
    </row>
    <row r="19">
      <c r="L19" s="42"/>
    </row>
    <row r="20">
      <c r="L20" s="42"/>
    </row>
    <row r="21">
      <c r="L21" s="42"/>
    </row>
    <row r="22">
      <c r="L22" s="42"/>
    </row>
    <row r="23">
      <c r="L23" s="42"/>
    </row>
    <row r="24">
      <c r="L24" s="42"/>
    </row>
    <row r="25">
      <c r="L25" s="42"/>
    </row>
    <row r="26">
      <c r="L26" s="42"/>
    </row>
    <row r="27">
      <c r="L27" s="42"/>
    </row>
    <row r="28">
      <c r="L28" s="42"/>
    </row>
    <row r="29">
      <c r="L29" s="42"/>
    </row>
    <row r="30">
      <c r="L30" s="42"/>
    </row>
    <row r="31">
      <c r="L31" s="42"/>
    </row>
    <row r="32">
      <c r="L32" s="42"/>
    </row>
    <row r="33">
      <c r="L33" s="42"/>
    </row>
    <row r="34">
      <c r="L34" s="42"/>
    </row>
    <row r="35">
      <c r="L35" s="42"/>
    </row>
    <row r="36">
      <c r="L36" s="42"/>
    </row>
    <row r="37">
      <c r="L37" s="42"/>
    </row>
    <row r="38">
      <c r="L38" s="42"/>
    </row>
    <row r="39">
      <c r="L39" s="42"/>
    </row>
    <row r="40">
      <c r="L40" s="42"/>
    </row>
    <row r="41">
      <c r="L41" s="42"/>
    </row>
    <row r="42">
      <c r="L42" s="42"/>
    </row>
    <row r="43">
      <c r="L43" s="42"/>
    </row>
    <row r="44">
      <c r="L44" s="42"/>
    </row>
    <row r="45">
      <c r="L45" s="42"/>
    </row>
    <row r="46">
      <c r="L46" s="42"/>
    </row>
    <row r="47">
      <c r="L47" s="42"/>
    </row>
    <row r="48">
      <c r="L48" s="42"/>
    </row>
    <row r="49">
      <c r="L49" s="42"/>
    </row>
    <row r="50">
      <c r="L50" s="42"/>
    </row>
    <row r="51">
      <c r="L51" s="42"/>
    </row>
    <row r="52">
      <c r="L52" s="42"/>
    </row>
    <row r="53">
      <c r="L53" s="42"/>
    </row>
    <row r="54">
      <c r="L54" s="42"/>
    </row>
    <row r="55">
      <c r="L55" s="42"/>
    </row>
    <row r="56">
      <c r="L56" s="42"/>
    </row>
    <row r="57">
      <c r="L57" s="42"/>
    </row>
    <row r="58">
      <c r="L58" s="42"/>
    </row>
    <row r="59">
      <c r="L59" s="42"/>
    </row>
    <row r="60">
      <c r="L60" s="42"/>
    </row>
    <row r="61">
      <c r="L61" s="42"/>
    </row>
    <row r="62">
      <c r="L62" s="42"/>
    </row>
    <row r="63">
      <c r="L63" s="42"/>
    </row>
    <row r="64">
      <c r="L64" s="42"/>
    </row>
    <row r="65">
      <c r="L65" s="42"/>
    </row>
    <row r="66">
      <c r="L66" s="42"/>
    </row>
    <row r="67">
      <c r="L67" s="42"/>
    </row>
    <row r="68">
      <c r="L68" s="42"/>
    </row>
    <row r="69">
      <c r="L69" s="42"/>
    </row>
    <row r="70">
      <c r="L70" s="42"/>
    </row>
    <row r="71">
      <c r="L71" s="42"/>
    </row>
    <row r="72">
      <c r="L72" s="42"/>
    </row>
    <row r="73">
      <c r="L73" s="42"/>
    </row>
    <row r="74">
      <c r="L74" s="42"/>
    </row>
    <row r="75">
      <c r="L75" s="42"/>
    </row>
    <row r="76">
      <c r="L76" s="42"/>
    </row>
    <row r="77">
      <c r="L77" s="42"/>
    </row>
    <row r="78">
      <c r="L78" s="42"/>
    </row>
    <row r="79">
      <c r="L79" s="42"/>
    </row>
    <row r="80">
      <c r="L80" s="42"/>
    </row>
    <row r="81">
      <c r="L81" s="42"/>
    </row>
    <row r="82">
      <c r="L82" s="42"/>
    </row>
    <row r="83">
      <c r="L83" s="42"/>
    </row>
    <row r="84">
      <c r="L84" s="42"/>
    </row>
    <row r="85">
      <c r="L85" s="42"/>
    </row>
    <row r="86">
      <c r="L86" s="42"/>
    </row>
    <row r="87">
      <c r="L87" s="42"/>
    </row>
    <row r="88">
      <c r="L88" s="42"/>
    </row>
    <row r="89">
      <c r="L89" s="42"/>
    </row>
    <row r="90">
      <c r="L90" s="42"/>
    </row>
    <row r="91">
      <c r="L91" s="42"/>
    </row>
    <row r="92">
      <c r="L92" s="42"/>
    </row>
    <row r="93">
      <c r="L93" s="42"/>
    </row>
    <row r="94">
      <c r="L94" s="42"/>
    </row>
    <row r="95">
      <c r="L95" s="42"/>
    </row>
    <row r="96">
      <c r="L96" s="42"/>
    </row>
    <row r="97">
      <c r="L97" s="42"/>
    </row>
    <row r="98">
      <c r="L98" s="42"/>
    </row>
    <row r="99">
      <c r="L99" s="42"/>
    </row>
    <row r="100">
      <c r="L100" s="42"/>
    </row>
    <row r="101">
      <c r="L101" s="42"/>
    </row>
    <row r="102">
      <c r="L102" s="42"/>
    </row>
    <row r="103">
      <c r="L103" s="42"/>
    </row>
    <row r="104">
      <c r="L104" s="42"/>
    </row>
    <row r="105">
      <c r="L105" s="42"/>
    </row>
    <row r="106">
      <c r="L106" s="42"/>
    </row>
    <row r="107">
      <c r="L107" s="42"/>
    </row>
    <row r="108">
      <c r="L108" s="42"/>
    </row>
    <row r="109">
      <c r="L109" s="42"/>
    </row>
    <row r="110">
      <c r="L110" s="42"/>
    </row>
    <row r="111">
      <c r="L111" s="42"/>
    </row>
    <row r="112">
      <c r="L112" s="42"/>
    </row>
    <row r="113">
      <c r="L113" s="42"/>
    </row>
    <row r="114">
      <c r="L114" s="42"/>
    </row>
    <row r="115">
      <c r="L115" s="42"/>
    </row>
    <row r="116">
      <c r="L116" s="42"/>
    </row>
    <row r="117">
      <c r="L117" s="42"/>
    </row>
    <row r="118">
      <c r="L118" s="42"/>
    </row>
    <row r="119">
      <c r="L119" s="42"/>
    </row>
    <row r="120">
      <c r="L120" s="42"/>
    </row>
    <row r="121">
      <c r="L121" s="42"/>
    </row>
    <row r="122">
      <c r="L122" s="42"/>
    </row>
    <row r="123">
      <c r="L123" s="42"/>
    </row>
    <row r="124">
      <c r="L124" s="42"/>
    </row>
    <row r="125">
      <c r="L125" s="42"/>
    </row>
    <row r="126">
      <c r="L126" s="42"/>
    </row>
    <row r="127">
      <c r="L127" s="42"/>
    </row>
    <row r="128">
      <c r="L128" s="42"/>
    </row>
    <row r="129">
      <c r="L129" s="42"/>
    </row>
    <row r="130">
      <c r="L130" s="42"/>
    </row>
    <row r="131">
      <c r="L131" s="42"/>
    </row>
    <row r="132">
      <c r="L132" s="42"/>
    </row>
    <row r="133">
      <c r="L133" s="42"/>
    </row>
    <row r="134">
      <c r="L134" s="42"/>
    </row>
    <row r="135">
      <c r="L135" s="42"/>
    </row>
    <row r="136">
      <c r="L136" s="42"/>
    </row>
    <row r="137">
      <c r="L137" s="42"/>
    </row>
    <row r="138">
      <c r="L138" s="42"/>
    </row>
    <row r="139">
      <c r="L139" s="42"/>
    </row>
    <row r="140">
      <c r="L140" s="42"/>
    </row>
    <row r="141">
      <c r="L141" s="42"/>
    </row>
    <row r="142">
      <c r="L142" s="42"/>
    </row>
    <row r="143">
      <c r="L143" s="42"/>
    </row>
    <row r="144">
      <c r="L144" s="42"/>
    </row>
    <row r="145">
      <c r="L145" s="42"/>
    </row>
    <row r="146">
      <c r="L146" s="42"/>
    </row>
    <row r="147">
      <c r="L147" s="42"/>
    </row>
    <row r="148">
      <c r="L148" s="42"/>
    </row>
    <row r="149">
      <c r="L149" s="42"/>
    </row>
    <row r="150">
      <c r="L150" s="42"/>
    </row>
    <row r="151">
      <c r="L151" s="42"/>
    </row>
    <row r="152">
      <c r="L152" s="42"/>
    </row>
    <row r="153">
      <c r="L153" s="42"/>
    </row>
    <row r="154">
      <c r="L154" s="42"/>
    </row>
    <row r="155">
      <c r="L155" s="42"/>
    </row>
    <row r="156">
      <c r="L156" s="42"/>
    </row>
    <row r="157">
      <c r="L157" s="42"/>
    </row>
    <row r="158">
      <c r="L158" s="42"/>
    </row>
    <row r="159">
      <c r="L159" s="42"/>
    </row>
    <row r="160">
      <c r="L160" s="42"/>
    </row>
    <row r="161">
      <c r="L161" s="42"/>
    </row>
    <row r="162">
      <c r="L162" s="42"/>
    </row>
    <row r="163">
      <c r="L163" s="42"/>
    </row>
    <row r="164">
      <c r="L164" s="42"/>
    </row>
    <row r="165">
      <c r="L165" s="42"/>
    </row>
    <row r="166">
      <c r="L166" s="42"/>
    </row>
    <row r="167">
      <c r="L167" s="42"/>
    </row>
    <row r="168">
      <c r="L168" s="42"/>
    </row>
    <row r="169">
      <c r="L169" s="42"/>
    </row>
    <row r="170">
      <c r="L170" s="42"/>
    </row>
    <row r="171">
      <c r="L171" s="42"/>
    </row>
    <row r="172">
      <c r="L172" s="42"/>
    </row>
    <row r="173">
      <c r="L173" s="42"/>
    </row>
    <row r="174">
      <c r="L174" s="42"/>
    </row>
    <row r="175">
      <c r="L175" s="42"/>
    </row>
    <row r="176">
      <c r="L176" s="42"/>
    </row>
    <row r="177">
      <c r="L177" s="42"/>
    </row>
    <row r="178">
      <c r="L178" s="42"/>
    </row>
    <row r="179">
      <c r="L179" s="42"/>
    </row>
    <row r="180">
      <c r="L180" s="42"/>
    </row>
    <row r="181">
      <c r="L181" s="42"/>
    </row>
    <row r="182">
      <c r="L182" s="42"/>
    </row>
    <row r="183">
      <c r="L183" s="42"/>
    </row>
    <row r="184">
      <c r="L184" s="42"/>
    </row>
    <row r="185">
      <c r="L185" s="42"/>
    </row>
    <row r="186">
      <c r="L186" s="42"/>
    </row>
    <row r="187">
      <c r="L187" s="42"/>
    </row>
    <row r="188">
      <c r="L188" s="42"/>
    </row>
    <row r="189">
      <c r="L189" s="42"/>
    </row>
    <row r="190">
      <c r="L190" s="42"/>
    </row>
    <row r="191">
      <c r="L191" s="42"/>
    </row>
    <row r="192">
      <c r="L192" s="42"/>
    </row>
    <row r="193">
      <c r="L193" s="42"/>
    </row>
    <row r="194">
      <c r="L194" s="42"/>
    </row>
    <row r="195">
      <c r="L195" s="42"/>
    </row>
    <row r="196">
      <c r="L196" s="42"/>
    </row>
    <row r="197">
      <c r="L197" s="42"/>
    </row>
    <row r="198">
      <c r="L198" s="42"/>
    </row>
    <row r="199">
      <c r="L199" s="42"/>
    </row>
    <row r="200">
      <c r="L200" s="42"/>
    </row>
    <row r="201">
      <c r="L201" s="42"/>
    </row>
    <row r="202">
      <c r="L202" s="42"/>
    </row>
    <row r="203">
      <c r="L203" s="42"/>
    </row>
    <row r="204">
      <c r="L204" s="42"/>
    </row>
    <row r="205">
      <c r="L205" s="42"/>
    </row>
    <row r="206">
      <c r="L206" s="42"/>
    </row>
    <row r="207">
      <c r="L207" s="42"/>
    </row>
    <row r="208">
      <c r="L208" s="42"/>
    </row>
    <row r="209">
      <c r="L209" s="42"/>
    </row>
    <row r="210">
      <c r="L210" s="42"/>
    </row>
    <row r="211">
      <c r="L211" s="42"/>
    </row>
    <row r="212">
      <c r="L212" s="42"/>
    </row>
    <row r="213">
      <c r="L213" s="42"/>
    </row>
    <row r="214">
      <c r="L214" s="42"/>
    </row>
    <row r="215">
      <c r="L215" s="42"/>
    </row>
    <row r="216">
      <c r="L216" s="42"/>
    </row>
    <row r="217">
      <c r="L217" s="42"/>
    </row>
    <row r="218">
      <c r="L218" s="42"/>
    </row>
    <row r="219">
      <c r="L219" s="42"/>
    </row>
    <row r="220">
      <c r="L220" s="42"/>
    </row>
    <row r="221">
      <c r="L221" s="42"/>
    </row>
    <row r="222">
      <c r="L222" s="42"/>
    </row>
    <row r="223">
      <c r="L223" s="42"/>
    </row>
    <row r="224">
      <c r="L224" s="42"/>
    </row>
    <row r="225">
      <c r="L225" s="42"/>
    </row>
    <row r="226">
      <c r="L226" s="42"/>
    </row>
    <row r="227">
      <c r="L227" s="42"/>
    </row>
    <row r="228">
      <c r="L228" s="42"/>
    </row>
    <row r="229">
      <c r="L229" s="42"/>
    </row>
    <row r="230">
      <c r="L230" s="42"/>
    </row>
    <row r="231">
      <c r="L231" s="42"/>
    </row>
    <row r="232">
      <c r="L232" s="42"/>
    </row>
    <row r="233">
      <c r="L233" s="42"/>
    </row>
    <row r="234">
      <c r="L234" s="42"/>
    </row>
    <row r="235">
      <c r="L235" s="42"/>
    </row>
    <row r="236">
      <c r="L236" s="42"/>
    </row>
    <row r="237">
      <c r="L237" s="42"/>
    </row>
    <row r="238">
      <c r="L238" s="42"/>
    </row>
    <row r="239">
      <c r="L239" s="42"/>
    </row>
    <row r="240">
      <c r="L240" s="42"/>
    </row>
    <row r="241">
      <c r="L241" s="42"/>
    </row>
    <row r="242">
      <c r="L242" s="42"/>
    </row>
    <row r="243">
      <c r="L243" s="42"/>
    </row>
    <row r="244">
      <c r="L244" s="42"/>
    </row>
    <row r="245">
      <c r="L245" s="42"/>
    </row>
    <row r="246">
      <c r="L246" s="42"/>
    </row>
    <row r="247">
      <c r="L247" s="42"/>
    </row>
    <row r="248">
      <c r="L248" s="42"/>
    </row>
    <row r="249">
      <c r="L249" s="42"/>
    </row>
    <row r="250">
      <c r="L250" s="42"/>
    </row>
    <row r="251">
      <c r="L251" s="42"/>
    </row>
    <row r="252">
      <c r="L252" s="42"/>
    </row>
    <row r="253">
      <c r="L253" s="42"/>
    </row>
    <row r="254">
      <c r="L254" s="42"/>
    </row>
    <row r="255">
      <c r="L255" s="42"/>
    </row>
    <row r="256">
      <c r="L256" s="42"/>
    </row>
    <row r="257">
      <c r="L257" s="42"/>
    </row>
    <row r="258">
      <c r="L258" s="42"/>
    </row>
    <row r="259">
      <c r="L259" s="42"/>
    </row>
    <row r="260">
      <c r="L260" s="42"/>
    </row>
    <row r="261">
      <c r="L261" s="42"/>
    </row>
    <row r="262">
      <c r="L262" s="42"/>
    </row>
    <row r="263">
      <c r="L263" s="42"/>
    </row>
    <row r="264">
      <c r="L264" s="42"/>
    </row>
    <row r="265">
      <c r="L265" s="42"/>
    </row>
    <row r="266">
      <c r="L266" s="42"/>
    </row>
    <row r="267">
      <c r="L267" s="42"/>
    </row>
    <row r="268">
      <c r="L268" s="42"/>
    </row>
    <row r="269">
      <c r="L269" s="42"/>
    </row>
    <row r="270">
      <c r="L270" s="42"/>
    </row>
    <row r="271">
      <c r="L271" s="42"/>
    </row>
    <row r="272">
      <c r="L272" s="42"/>
    </row>
    <row r="273">
      <c r="L273" s="42"/>
    </row>
    <row r="274">
      <c r="L274" s="42"/>
    </row>
    <row r="275">
      <c r="L275" s="42"/>
    </row>
    <row r="276">
      <c r="L276" s="42"/>
    </row>
    <row r="277">
      <c r="L277" s="42"/>
    </row>
    <row r="278">
      <c r="L278" s="42"/>
    </row>
    <row r="279">
      <c r="L279" s="42"/>
    </row>
    <row r="280">
      <c r="L280" s="42"/>
    </row>
    <row r="281">
      <c r="L281" s="42"/>
    </row>
    <row r="282">
      <c r="L282" s="42"/>
    </row>
    <row r="283">
      <c r="L283" s="42"/>
    </row>
    <row r="284">
      <c r="L284" s="42"/>
    </row>
    <row r="285">
      <c r="L285" s="42"/>
    </row>
    <row r="286">
      <c r="L286" s="42"/>
    </row>
    <row r="287">
      <c r="L287" s="42"/>
    </row>
    <row r="288">
      <c r="L288" s="42"/>
    </row>
    <row r="289">
      <c r="L289" s="42"/>
    </row>
    <row r="290">
      <c r="L290" s="42"/>
    </row>
    <row r="291">
      <c r="L291" s="42"/>
    </row>
    <row r="292">
      <c r="L292" s="42"/>
    </row>
    <row r="293">
      <c r="L293" s="42"/>
    </row>
    <row r="294">
      <c r="L294" s="42"/>
    </row>
    <row r="295">
      <c r="L295" s="42"/>
    </row>
    <row r="296">
      <c r="L296" s="42"/>
    </row>
    <row r="297">
      <c r="L297" s="42"/>
    </row>
    <row r="298">
      <c r="L298" s="42"/>
    </row>
    <row r="299">
      <c r="L299" s="42"/>
    </row>
    <row r="300">
      <c r="L300" s="42"/>
    </row>
  </sheetData>
  <mergeCells count="5">
    <mergeCell ref="A2:O2"/>
    <mergeCell ref="A4:K4"/>
    <mergeCell ref="M4:P4"/>
    <mergeCell ref="A12:K12"/>
    <mergeCell ref="M12:P12"/>
  </mergeCells>
  <conditionalFormatting sqref="M12:P12">
    <cfRule type="cellIs" dxfId="0" priority="1" stopIfTrue="1" operator="greaterThan">
      <formula>0</formula>
    </cfRule>
  </conditionalFormatting>
  <conditionalFormatting sqref="M12:P12">
    <cfRule type="cellIs" dxfId="1" priority="2" stopIfTrue="1" operator="lessThanOrEqual">
      <formula>0</formula>
    </cfRule>
  </conditionalFormatting>
  <hyperlinks>
    <hyperlink display="◀ Master" location="Master!A1" ref="P2"/>
  </hyperlin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2.63"/>
    <col customWidth="1" min="2" max="2" width="11.38"/>
    <col customWidth="1" min="3" max="3" width="11.13"/>
    <col customWidth="1" min="4" max="4" width="22.63"/>
    <col customWidth="1" min="5" max="5" width="10.13"/>
    <col customWidth="1" min="6" max="6" width="9.63"/>
    <col customWidth="1" min="7" max="7" width="13.63"/>
    <col customWidth="1" min="8" max="8" width="11.88"/>
    <col customWidth="1" min="9" max="9" width="7.63"/>
    <col customWidth="1" min="10" max="10" width="10.88"/>
    <col customWidth="1" min="11" max="11" width="15.38"/>
    <col customWidth="1" min="12" max="12" width="1.38"/>
    <col customWidth="1" min="13" max="13" width="12.63"/>
    <col customWidth="1" min="14" max="14" width="14.5"/>
    <col customWidth="1" min="15" max="15" width="10.38"/>
    <col customWidth="1" min="16" max="16" width="26.38"/>
  </cols>
  <sheetData>
    <row r="1" ht="6.0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4"/>
      <c r="M1" s="33"/>
      <c r="N1" s="33"/>
      <c r="O1" s="33"/>
      <c r="P1" s="33"/>
    </row>
    <row r="2" ht="33.0" customHeight="1">
      <c r="A2" s="35" t="s">
        <v>98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7" t="s">
        <v>25</v>
      </c>
    </row>
    <row r="3" ht="7.5" customHeight="1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4"/>
      <c r="M3" s="33"/>
      <c r="N3" s="33"/>
      <c r="O3" s="33"/>
      <c r="P3" s="33"/>
    </row>
    <row r="4" ht="16.5" customHeight="1">
      <c r="A4" s="38" t="s">
        <v>26</v>
      </c>
      <c r="L4" s="34"/>
      <c r="M4" s="39" t="s">
        <v>27</v>
      </c>
    </row>
    <row r="5" ht="21.0" customHeight="1">
      <c r="A5" s="40" t="s">
        <v>28</v>
      </c>
      <c r="B5" s="40" t="s">
        <v>29</v>
      </c>
      <c r="C5" s="40" t="s">
        <v>30</v>
      </c>
      <c r="D5" s="40" t="s">
        <v>31</v>
      </c>
      <c r="E5" s="40" t="s">
        <v>32</v>
      </c>
      <c r="F5" s="40" t="s">
        <v>33</v>
      </c>
      <c r="G5" s="40" t="s">
        <v>34</v>
      </c>
      <c r="H5" s="40" t="s">
        <v>35</v>
      </c>
      <c r="I5" s="40" t="s">
        <v>36</v>
      </c>
      <c r="J5" s="40" t="s">
        <v>37</v>
      </c>
      <c r="K5" s="41" t="s">
        <v>38</v>
      </c>
      <c r="L5" s="42"/>
      <c r="M5" s="43" t="s">
        <v>28</v>
      </c>
      <c r="N5" s="44" t="s">
        <v>34</v>
      </c>
      <c r="O5" s="44" t="s">
        <v>39</v>
      </c>
      <c r="P5" s="44" t="s">
        <v>40</v>
      </c>
    </row>
    <row r="6" ht="18.75" customHeight="1">
      <c r="A6" s="45">
        <v>46067.0</v>
      </c>
      <c r="B6" s="46" t="s">
        <v>99</v>
      </c>
      <c r="C6" s="47">
        <v>725.0</v>
      </c>
      <c r="D6" s="48" t="s">
        <v>42</v>
      </c>
      <c r="E6" s="49">
        <v>60.0</v>
      </c>
      <c r="F6" s="49">
        <v>842.0</v>
      </c>
      <c r="G6" s="49">
        <v>50520.0</v>
      </c>
      <c r="H6" s="49">
        <v>900.0</v>
      </c>
      <c r="I6" s="49">
        <v>18.0</v>
      </c>
      <c r="J6" s="49">
        <v>9256.0</v>
      </c>
      <c r="K6" s="50">
        <f>G6+H6+J6</f>
        <v>60676</v>
      </c>
      <c r="L6" s="42"/>
      <c r="M6" s="51" t="s">
        <v>2</v>
      </c>
      <c r="N6" s="52">
        <v>50000.0</v>
      </c>
      <c r="O6" s="53"/>
      <c r="P6" s="54"/>
    </row>
    <row r="7" ht="18.75" customHeight="1">
      <c r="A7" s="95"/>
      <c r="B7" s="96"/>
      <c r="C7" s="96"/>
      <c r="D7" s="97"/>
      <c r="E7" s="93"/>
      <c r="F7" s="93"/>
      <c r="G7" s="93"/>
      <c r="H7" s="93"/>
      <c r="I7" s="93"/>
      <c r="J7" s="93"/>
      <c r="K7" s="80"/>
      <c r="L7" s="42"/>
      <c r="M7" s="61">
        <v>46071.0</v>
      </c>
      <c r="N7" s="62">
        <v>18000.0</v>
      </c>
      <c r="O7" s="63" t="s">
        <v>49</v>
      </c>
      <c r="P7" s="64" t="s">
        <v>100</v>
      </c>
    </row>
    <row r="8">
      <c r="L8" s="42"/>
    </row>
    <row r="9" ht="21.0" customHeight="1">
      <c r="A9" s="84" t="s">
        <v>55</v>
      </c>
      <c r="B9" s="85">
        <f>IFERROR(COUNTIF(K6,"&gt;0"),0)</f>
        <v>1</v>
      </c>
      <c r="C9" s="86"/>
      <c r="D9" s="86"/>
      <c r="E9" s="85">
        <f>IFERROR(SUM(E6),0)</f>
        <v>60</v>
      </c>
      <c r="F9" s="86"/>
      <c r="G9" s="85">
        <f t="shared" ref="G9:H9" si="1">IFERROR(SUM(G6),0)</f>
        <v>50520</v>
      </c>
      <c r="H9" s="85">
        <f t="shared" si="1"/>
        <v>900</v>
      </c>
      <c r="I9" s="86"/>
      <c r="J9" s="86"/>
      <c r="K9" s="85">
        <f>IFERROR(SUM(K6),0)</f>
        <v>60676</v>
      </c>
      <c r="L9" s="42"/>
      <c r="M9" s="87" t="s">
        <v>56</v>
      </c>
      <c r="N9" s="85">
        <f>IFERROR(SUM(N7),0)</f>
        <v>18000</v>
      </c>
      <c r="O9" s="88"/>
      <c r="P9" s="89"/>
    </row>
    <row r="10">
      <c r="L10" s="42"/>
    </row>
    <row r="11" ht="30.0" customHeight="1">
      <c r="A11" s="90" t="s">
        <v>57</v>
      </c>
      <c r="B11" s="36"/>
      <c r="C11" s="36"/>
      <c r="D11" s="36"/>
      <c r="E11" s="36"/>
      <c r="F11" s="36"/>
      <c r="G11" s="36"/>
      <c r="H11" s="36"/>
      <c r="I11" s="36"/>
      <c r="J11" s="36"/>
      <c r="K11" s="91"/>
      <c r="L11" s="42"/>
      <c r="M11" s="92">
        <f>N6+K9-N9</f>
        <v>92676</v>
      </c>
      <c r="N11" s="36"/>
      <c r="O11" s="36"/>
      <c r="P11" s="91"/>
    </row>
    <row r="12">
      <c r="L12" s="42"/>
    </row>
    <row r="13">
      <c r="L13" s="42"/>
    </row>
    <row r="14">
      <c r="L14" s="42"/>
    </row>
    <row r="15">
      <c r="L15" s="42"/>
    </row>
    <row r="16">
      <c r="L16" s="42"/>
    </row>
    <row r="17">
      <c r="L17" s="42"/>
    </row>
    <row r="18">
      <c r="L18" s="42"/>
    </row>
    <row r="19">
      <c r="L19" s="42"/>
    </row>
    <row r="20">
      <c r="L20" s="42"/>
    </row>
    <row r="21">
      <c r="L21" s="42"/>
    </row>
    <row r="22">
      <c r="L22" s="42"/>
    </row>
    <row r="23">
      <c r="L23" s="42"/>
    </row>
    <row r="24">
      <c r="L24" s="42"/>
    </row>
    <row r="25">
      <c r="L25" s="42"/>
    </row>
    <row r="26">
      <c r="L26" s="42"/>
    </row>
    <row r="27">
      <c r="L27" s="42"/>
    </row>
    <row r="28">
      <c r="L28" s="42"/>
    </row>
    <row r="29">
      <c r="L29" s="42"/>
    </row>
    <row r="30">
      <c r="L30" s="42"/>
    </row>
    <row r="31">
      <c r="L31" s="42"/>
    </row>
    <row r="32">
      <c r="L32" s="42"/>
    </row>
    <row r="33">
      <c r="L33" s="42"/>
    </row>
    <row r="34">
      <c r="L34" s="42"/>
    </row>
    <row r="35">
      <c r="L35" s="42"/>
    </row>
    <row r="36">
      <c r="L36" s="42"/>
    </row>
    <row r="37">
      <c r="L37" s="42"/>
    </row>
    <row r="38">
      <c r="L38" s="42"/>
    </row>
    <row r="39">
      <c r="L39" s="42"/>
    </row>
    <row r="40">
      <c r="L40" s="42"/>
    </row>
    <row r="41">
      <c r="L41" s="42"/>
    </row>
    <row r="42">
      <c r="L42" s="42"/>
    </row>
    <row r="43">
      <c r="L43" s="42"/>
    </row>
    <row r="44">
      <c r="L44" s="42"/>
    </row>
    <row r="45">
      <c r="L45" s="42"/>
    </row>
    <row r="46">
      <c r="L46" s="42"/>
    </row>
    <row r="47">
      <c r="L47" s="42"/>
    </row>
    <row r="48">
      <c r="L48" s="42"/>
    </row>
    <row r="49">
      <c r="L49" s="42"/>
    </row>
    <row r="50">
      <c r="L50" s="42"/>
    </row>
    <row r="51">
      <c r="L51" s="42"/>
    </row>
    <row r="52">
      <c r="L52" s="42"/>
    </row>
    <row r="53">
      <c r="L53" s="42"/>
    </row>
    <row r="54">
      <c r="L54" s="42"/>
    </row>
    <row r="55">
      <c r="L55" s="42"/>
    </row>
    <row r="56">
      <c r="L56" s="42"/>
    </row>
    <row r="57">
      <c r="L57" s="42"/>
    </row>
    <row r="58">
      <c r="L58" s="42"/>
    </row>
    <row r="59">
      <c r="L59" s="42"/>
    </row>
    <row r="60">
      <c r="L60" s="42"/>
    </row>
    <row r="61">
      <c r="L61" s="42"/>
    </row>
    <row r="62">
      <c r="L62" s="42"/>
    </row>
    <row r="63">
      <c r="L63" s="42"/>
    </row>
    <row r="64">
      <c r="L64" s="42"/>
    </row>
    <row r="65">
      <c r="L65" s="42"/>
    </row>
    <row r="66">
      <c r="L66" s="42"/>
    </row>
    <row r="67">
      <c r="L67" s="42"/>
    </row>
    <row r="68">
      <c r="L68" s="42"/>
    </row>
    <row r="69">
      <c r="L69" s="42"/>
    </row>
    <row r="70">
      <c r="L70" s="42"/>
    </row>
    <row r="71">
      <c r="L71" s="42"/>
    </row>
    <row r="72">
      <c r="L72" s="42"/>
    </row>
    <row r="73">
      <c r="L73" s="42"/>
    </row>
    <row r="74">
      <c r="L74" s="42"/>
    </row>
    <row r="75">
      <c r="L75" s="42"/>
    </row>
    <row r="76">
      <c r="L76" s="42"/>
    </row>
    <row r="77">
      <c r="L77" s="42"/>
    </row>
    <row r="78">
      <c r="L78" s="42"/>
    </row>
    <row r="79">
      <c r="L79" s="42"/>
    </row>
    <row r="80">
      <c r="L80" s="42"/>
    </row>
    <row r="81">
      <c r="L81" s="42"/>
    </row>
    <row r="82">
      <c r="L82" s="42"/>
    </row>
    <row r="83">
      <c r="L83" s="42"/>
    </row>
    <row r="84">
      <c r="L84" s="42"/>
    </row>
    <row r="85">
      <c r="L85" s="42"/>
    </row>
    <row r="86">
      <c r="L86" s="42"/>
    </row>
    <row r="87">
      <c r="L87" s="42"/>
    </row>
    <row r="88">
      <c r="L88" s="42"/>
    </row>
    <row r="89">
      <c r="L89" s="42"/>
    </row>
    <row r="90">
      <c r="L90" s="42"/>
    </row>
    <row r="91">
      <c r="L91" s="42"/>
    </row>
    <row r="92">
      <c r="L92" s="42"/>
    </row>
    <row r="93">
      <c r="L93" s="42"/>
    </row>
    <row r="94">
      <c r="L94" s="42"/>
    </row>
    <row r="95">
      <c r="L95" s="42"/>
    </row>
    <row r="96">
      <c r="L96" s="42"/>
    </row>
    <row r="97">
      <c r="L97" s="42"/>
    </row>
    <row r="98">
      <c r="L98" s="42"/>
    </row>
    <row r="99">
      <c r="L99" s="42"/>
    </row>
    <row r="100">
      <c r="L100" s="42"/>
    </row>
    <row r="101">
      <c r="L101" s="42"/>
    </row>
    <row r="102">
      <c r="L102" s="42"/>
    </row>
    <row r="103">
      <c r="L103" s="42"/>
    </row>
    <row r="104">
      <c r="L104" s="42"/>
    </row>
    <row r="105">
      <c r="L105" s="42"/>
    </row>
    <row r="106">
      <c r="L106" s="42"/>
    </row>
    <row r="107">
      <c r="L107" s="42"/>
    </row>
    <row r="108">
      <c r="L108" s="42"/>
    </row>
    <row r="109">
      <c r="L109" s="42"/>
    </row>
    <row r="110">
      <c r="L110" s="42"/>
    </row>
    <row r="111">
      <c r="L111" s="42"/>
    </row>
    <row r="112">
      <c r="L112" s="42"/>
    </row>
    <row r="113">
      <c r="L113" s="42"/>
    </row>
    <row r="114">
      <c r="L114" s="42"/>
    </row>
    <row r="115">
      <c r="L115" s="42"/>
    </row>
    <row r="116">
      <c r="L116" s="42"/>
    </row>
    <row r="117">
      <c r="L117" s="42"/>
    </row>
    <row r="118">
      <c r="L118" s="42"/>
    </row>
    <row r="119">
      <c r="L119" s="42"/>
    </row>
    <row r="120">
      <c r="L120" s="42"/>
    </row>
    <row r="121">
      <c r="L121" s="42"/>
    </row>
    <row r="122">
      <c r="L122" s="42"/>
    </row>
    <row r="123">
      <c r="L123" s="42"/>
    </row>
    <row r="124">
      <c r="L124" s="42"/>
    </row>
    <row r="125">
      <c r="L125" s="42"/>
    </row>
    <row r="126">
      <c r="L126" s="42"/>
    </row>
    <row r="127">
      <c r="L127" s="42"/>
    </row>
    <row r="128">
      <c r="L128" s="42"/>
    </row>
    <row r="129">
      <c r="L129" s="42"/>
    </row>
    <row r="130">
      <c r="L130" s="42"/>
    </row>
    <row r="131">
      <c r="L131" s="42"/>
    </row>
    <row r="132">
      <c r="L132" s="42"/>
    </row>
    <row r="133">
      <c r="L133" s="42"/>
    </row>
    <row r="134">
      <c r="L134" s="42"/>
    </row>
    <row r="135">
      <c r="L135" s="42"/>
    </row>
    <row r="136">
      <c r="L136" s="42"/>
    </row>
    <row r="137">
      <c r="L137" s="42"/>
    </row>
    <row r="138">
      <c r="L138" s="42"/>
    </row>
    <row r="139">
      <c r="L139" s="42"/>
    </row>
    <row r="140">
      <c r="L140" s="42"/>
    </row>
    <row r="141">
      <c r="L141" s="42"/>
    </row>
    <row r="142">
      <c r="L142" s="42"/>
    </row>
    <row r="143">
      <c r="L143" s="42"/>
    </row>
    <row r="144">
      <c r="L144" s="42"/>
    </row>
    <row r="145">
      <c r="L145" s="42"/>
    </row>
    <row r="146">
      <c r="L146" s="42"/>
    </row>
    <row r="147">
      <c r="L147" s="42"/>
    </row>
    <row r="148">
      <c r="L148" s="42"/>
    </row>
    <row r="149">
      <c r="L149" s="42"/>
    </row>
    <row r="150">
      <c r="L150" s="42"/>
    </row>
    <row r="151">
      <c r="L151" s="42"/>
    </row>
    <row r="152">
      <c r="L152" s="42"/>
    </row>
    <row r="153">
      <c r="L153" s="42"/>
    </row>
    <row r="154">
      <c r="L154" s="42"/>
    </row>
    <row r="155">
      <c r="L155" s="42"/>
    </row>
    <row r="156">
      <c r="L156" s="42"/>
    </row>
    <row r="157">
      <c r="L157" s="42"/>
    </row>
    <row r="158">
      <c r="L158" s="42"/>
    </row>
    <row r="159">
      <c r="L159" s="42"/>
    </row>
    <row r="160">
      <c r="L160" s="42"/>
    </row>
    <row r="161">
      <c r="L161" s="42"/>
    </row>
    <row r="162">
      <c r="L162" s="42"/>
    </row>
    <row r="163">
      <c r="L163" s="42"/>
    </row>
    <row r="164">
      <c r="L164" s="42"/>
    </row>
    <row r="165">
      <c r="L165" s="42"/>
    </row>
    <row r="166">
      <c r="L166" s="42"/>
    </row>
    <row r="167">
      <c r="L167" s="42"/>
    </row>
    <row r="168">
      <c r="L168" s="42"/>
    </row>
    <row r="169">
      <c r="L169" s="42"/>
    </row>
    <row r="170">
      <c r="L170" s="42"/>
    </row>
    <row r="171">
      <c r="L171" s="42"/>
    </row>
    <row r="172">
      <c r="L172" s="42"/>
    </row>
    <row r="173">
      <c r="L173" s="42"/>
    </row>
    <row r="174">
      <c r="L174" s="42"/>
    </row>
    <row r="175">
      <c r="L175" s="42"/>
    </row>
    <row r="176">
      <c r="L176" s="42"/>
    </row>
    <row r="177">
      <c r="L177" s="42"/>
    </row>
    <row r="178">
      <c r="L178" s="42"/>
    </row>
    <row r="179">
      <c r="L179" s="42"/>
    </row>
    <row r="180">
      <c r="L180" s="42"/>
    </row>
    <row r="181">
      <c r="L181" s="42"/>
    </row>
    <row r="182">
      <c r="L182" s="42"/>
    </row>
    <row r="183">
      <c r="L183" s="42"/>
    </row>
    <row r="184">
      <c r="L184" s="42"/>
    </row>
    <row r="185">
      <c r="L185" s="42"/>
    </row>
    <row r="186">
      <c r="L186" s="42"/>
    </row>
    <row r="187">
      <c r="L187" s="42"/>
    </row>
    <row r="188">
      <c r="L188" s="42"/>
    </row>
    <row r="189">
      <c r="L189" s="42"/>
    </row>
    <row r="190">
      <c r="L190" s="42"/>
    </row>
    <row r="191">
      <c r="L191" s="42"/>
    </row>
    <row r="192">
      <c r="L192" s="42"/>
    </row>
    <row r="193">
      <c r="L193" s="42"/>
    </row>
    <row r="194">
      <c r="L194" s="42"/>
    </row>
    <row r="195">
      <c r="L195" s="42"/>
    </row>
    <row r="196">
      <c r="L196" s="42"/>
    </row>
    <row r="197">
      <c r="L197" s="42"/>
    </row>
    <row r="198">
      <c r="L198" s="42"/>
    </row>
    <row r="199">
      <c r="L199" s="42"/>
    </row>
    <row r="200">
      <c r="L200" s="42"/>
    </row>
    <row r="201">
      <c r="L201" s="42"/>
    </row>
    <row r="202">
      <c r="L202" s="42"/>
    </row>
    <row r="203">
      <c r="L203" s="42"/>
    </row>
    <row r="204">
      <c r="L204" s="42"/>
    </row>
    <row r="205">
      <c r="L205" s="42"/>
    </row>
    <row r="206">
      <c r="L206" s="42"/>
    </row>
    <row r="207">
      <c r="L207" s="42"/>
    </row>
    <row r="208">
      <c r="L208" s="42"/>
    </row>
    <row r="209">
      <c r="L209" s="42"/>
    </row>
    <row r="210">
      <c r="L210" s="42"/>
    </row>
    <row r="211">
      <c r="L211" s="42"/>
    </row>
    <row r="212">
      <c r="L212" s="42"/>
    </row>
    <row r="213">
      <c r="L213" s="42"/>
    </row>
    <row r="214">
      <c r="L214" s="42"/>
    </row>
    <row r="215">
      <c r="L215" s="42"/>
    </row>
    <row r="216">
      <c r="L216" s="42"/>
    </row>
    <row r="217">
      <c r="L217" s="42"/>
    </row>
    <row r="218">
      <c r="L218" s="42"/>
    </row>
    <row r="219">
      <c r="L219" s="42"/>
    </row>
    <row r="220">
      <c r="L220" s="42"/>
    </row>
    <row r="221">
      <c r="L221" s="42"/>
    </row>
    <row r="222">
      <c r="L222" s="42"/>
    </row>
    <row r="223">
      <c r="L223" s="42"/>
    </row>
    <row r="224">
      <c r="L224" s="42"/>
    </row>
    <row r="225">
      <c r="L225" s="42"/>
    </row>
    <row r="226">
      <c r="L226" s="42"/>
    </row>
    <row r="227">
      <c r="L227" s="42"/>
    </row>
    <row r="228">
      <c r="L228" s="42"/>
    </row>
    <row r="229">
      <c r="L229" s="42"/>
    </row>
    <row r="230">
      <c r="L230" s="42"/>
    </row>
    <row r="231">
      <c r="L231" s="42"/>
    </row>
    <row r="232">
      <c r="L232" s="42"/>
    </row>
    <row r="233">
      <c r="L233" s="42"/>
    </row>
    <row r="234">
      <c r="L234" s="42"/>
    </row>
    <row r="235">
      <c r="L235" s="42"/>
    </row>
    <row r="236">
      <c r="L236" s="42"/>
    </row>
    <row r="237">
      <c r="L237" s="42"/>
    </row>
    <row r="238">
      <c r="L238" s="42"/>
    </row>
    <row r="239">
      <c r="L239" s="42"/>
    </row>
    <row r="240">
      <c r="L240" s="42"/>
    </row>
    <row r="241">
      <c r="L241" s="42"/>
    </row>
    <row r="242">
      <c r="L242" s="42"/>
    </row>
    <row r="243">
      <c r="L243" s="42"/>
    </row>
    <row r="244">
      <c r="L244" s="42"/>
    </row>
    <row r="245">
      <c r="L245" s="42"/>
    </row>
    <row r="246">
      <c r="L246" s="42"/>
    </row>
    <row r="247">
      <c r="L247" s="42"/>
    </row>
    <row r="248">
      <c r="L248" s="42"/>
    </row>
    <row r="249">
      <c r="L249" s="42"/>
    </row>
    <row r="250">
      <c r="L250" s="42"/>
    </row>
    <row r="251">
      <c r="L251" s="42"/>
    </row>
    <row r="252">
      <c r="L252" s="42"/>
    </row>
    <row r="253">
      <c r="L253" s="42"/>
    </row>
    <row r="254">
      <c r="L254" s="42"/>
    </row>
    <row r="255">
      <c r="L255" s="42"/>
    </row>
    <row r="256">
      <c r="L256" s="42"/>
    </row>
    <row r="257">
      <c r="L257" s="42"/>
    </row>
    <row r="258">
      <c r="L258" s="42"/>
    </row>
    <row r="259">
      <c r="L259" s="42"/>
    </row>
    <row r="260">
      <c r="L260" s="42"/>
    </row>
    <row r="261">
      <c r="L261" s="42"/>
    </row>
    <row r="262">
      <c r="L262" s="42"/>
    </row>
    <row r="263">
      <c r="L263" s="42"/>
    </row>
    <row r="264">
      <c r="L264" s="42"/>
    </row>
    <row r="265">
      <c r="L265" s="42"/>
    </row>
    <row r="266">
      <c r="L266" s="42"/>
    </row>
    <row r="267">
      <c r="L267" s="42"/>
    </row>
    <row r="268">
      <c r="L268" s="42"/>
    </row>
    <row r="269">
      <c r="L269" s="42"/>
    </row>
    <row r="270">
      <c r="L270" s="42"/>
    </row>
    <row r="271">
      <c r="L271" s="42"/>
    </row>
    <row r="272">
      <c r="L272" s="42"/>
    </row>
    <row r="273">
      <c r="L273" s="42"/>
    </row>
    <row r="274">
      <c r="L274" s="42"/>
    </row>
    <row r="275">
      <c r="L275" s="42"/>
    </row>
    <row r="276">
      <c r="L276" s="42"/>
    </row>
    <row r="277">
      <c r="L277" s="42"/>
    </row>
    <row r="278">
      <c r="L278" s="42"/>
    </row>
    <row r="279">
      <c r="L279" s="42"/>
    </row>
    <row r="280">
      <c r="L280" s="42"/>
    </row>
    <row r="281">
      <c r="L281" s="42"/>
    </row>
    <row r="282">
      <c r="L282" s="42"/>
    </row>
    <row r="283">
      <c r="L283" s="42"/>
    </row>
    <row r="284">
      <c r="L284" s="42"/>
    </row>
    <row r="285">
      <c r="L285" s="42"/>
    </row>
    <row r="286">
      <c r="L286" s="42"/>
    </row>
    <row r="287">
      <c r="L287" s="42"/>
    </row>
    <row r="288">
      <c r="L288" s="42"/>
    </row>
    <row r="289">
      <c r="L289" s="42"/>
    </row>
    <row r="290">
      <c r="L290" s="42"/>
    </row>
    <row r="291">
      <c r="L291" s="42"/>
    </row>
    <row r="292">
      <c r="L292" s="42"/>
    </row>
    <row r="293">
      <c r="L293" s="42"/>
    </row>
    <row r="294">
      <c r="L294" s="42"/>
    </row>
    <row r="295">
      <c r="L295" s="42"/>
    </row>
    <row r="296">
      <c r="L296" s="42"/>
    </row>
    <row r="297">
      <c r="L297" s="42"/>
    </row>
    <row r="298">
      <c r="L298" s="42"/>
    </row>
    <row r="299">
      <c r="L299" s="42"/>
    </row>
    <row r="300">
      <c r="L300" s="42"/>
    </row>
  </sheetData>
  <mergeCells count="5">
    <mergeCell ref="A2:O2"/>
    <mergeCell ref="A4:K4"/>
    <mergeCell ref="M4:P4"/>
    <mergeCell ref="A11:K11"/>
    <mergeCell ref="M11:P11"/>
  </mergeCells>
  <conditionalFormatting sqref="M11:P11">
    <cfRule type="cellIs" dxfId="0" priority="1" stopIfTrue="1" operator="greaterThan">
      <formula>0</formula>
    </cfRule>
  </conditionalFormatting>
  <conditionalFormatting sqref="M11:P11">
    <cfRule type="cellIs" dxfId="1" priority="2" stopIfTrue="1" operator="lessThanOrEqual">
      <formula>0</formula>
    </cfRule>
  </conditionalFormatting>
  <hyperlinks>
    <hyperlink display="◀ Master" location="Master!A1" ref="P2"/>
  </hyperlin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2.63"/>
    <col customWidth="1" min="2" max="2" width="11.38"/>
    <col customWidth="1" min="3" max="3" width="11.13"/>
    <col customWidth="1" min="4" max="4" width="22.63"/>
    <col customWidth="1" min="5" max="5" width="10.13"/>
    <col customWidth="1" min="6" max="6" width="9.63"/>
    <col customWidth="1" min="7" max="7" width="13.63"/>
    <col customWidth="1" min="8" max="8" width="11.88"/>
    <col customWidth="1" min="9" max="9" width="7.63"/>
    <col customWidth="1" min="10" max="10" width="10.88"/>
    <col customWidth="1" min="11" max="11" width="15.38"/>
    <col customWidth="1" min="12" max="12" width="1.38"/>
    <col customWidth="1" min="13" max="13" width="12.63"/>
    <col customWidth="1" min="14" max="14" width="14.5"/>
    <col customWidth="1" min="15" max="15" width="10.38"/>
    <col customWidth="1" min="16" max="16" width="26.38"/>
  </cols>
  <sheetData>
    <row r="1" ht="6.0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4"/>
      <c r="M1" s="33"/>
      <c r="N1" s="33"/>
      <c r="O1" s="33"/>
      <c r="P1" s="33"/>
    </row>
    <row r="2" ht="33.0" customHeight="1">
      <c r="A2" s="35" t="s">
        <v>101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7" t="s">
        <v>25</v>
      </c>
    </row>
    <row r="3" ht="7.5" customHeight="1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4"/>
      <c r="M3" s="33"/>
      <c r="N3" s="33"/>
      <c r="O3" s="33"/>
      <c r="P3" s="33"/>
    </row>
    <row r="4" ht="16.5" customHeight="1">
      <c r="A4" s="38" t="s">
        <v>26</v>
      </c>
      <c r="L4" s="34"/>
      <c r="M4" s="39" t="s">
        <v>27</v>
      </c>
    </row>
    <row r="5" ht="21.0" customHeight="1">
      <c r="A5" s="40" t="s">
        <v>28</v>
      </c>
      <c r="B5" s="40" t="s">
        <v>29</v>
      </c>
      <c r="C5" s="40" t="s">
        <v>30</v>
      </c>
      <c r="D5" s="40" t="s">
        <v>31</v>
      </c>
      <c r="E5" s="40" t="s">
        <v>32</v>
      </c>
      <c r="F5" s="40" t="s">
        <v>33</v>
      </c>
      <c r="G5" s="40" t="s">
        <v>34</v>
      </c>
      <c r="H5" s="40" t="s">
        <v>35</v>
      </c>
      <c r="I5" s="40" t="s">
        <v>36</v>
      </c>
      <c r="J5" s="40" t="s">
        <v>37</v>
      </c>
      <c r="K5" s="41" t="s">
        <v>38</v>
      </c>
      <c r="L5" s="42"/>
      <c r="M5" s="43" t="s">
        <v>28</v>
      </c>
      <c r="N5" s="44" t="s">
        <v>34</v>
      </c>
      <c r="O5" s="44" t="s">
        <v>39</v>
      </c>
      <c r="P5" s="44" t="s">
        <v>40</v>
      </c>
    </row>
    <row r="6" ht="18.75" customHeight="1">
      <c r="A6" s="45">
        <v>46073.0</v>
      </c>
      <c r="B6" s="46" t="s">
        <v>102</v>
      </c>
      <c r="C6" s="47">
        <v>730.0</v>
      </c>
      <c r="D6" s="48" t="s">
        <v>54</v>
      </c>
      <c r="E6" s="49">
        <v>95.0</v>
      </c>
      <c r="F6" s="49">
        <v>835.0</v>
      </c>
      <c r="G6" s="49">
        <v>79325.0</v>
      </c>
      <c r="H6" s="49">
        <v>1200.0</v>
      </c>
      <c r="I6" s="50"/>
      <c r="J6" s="50"/>
      <c r="K6" s="50">
        <f>G6+H6+J6</f>
        <v>80525</v>
      </c>
      <c r="L6" s="42"/>
      <c r="M6" s="51" t="s">
        <v>2</v>
      </c>
      <c r="N6" s="52">
        <v>40000.0</v>
      </c>
      <c r="O6" s="53"/>
      <c r="P6" s="54"/>
    </row>
    <row r="7" ht="18.75" customHeight="1">
      <c r="A7" s="95"/>
      <c r="B7" s="96"/>
      <c r="C7" s="96"/>
      <c r="D7" s="97"/>
      <c r="E7" s="93"/>
      <c r="F7" s="93"/>
      <c r="G7" s="93"/>
      <c r="H7" s="93"/>
      <c r="I7" s="93"/>
      <c r="J7" s="93"/>
      <c r="K7" s="80"/>
      <c r="L7" s="42"/>
      <c r="M7" s="61">
        <v>46074.0</v>
      </c>
      <c r="N7" s="62">
        <v>10000.0</v>
      </c>
      <c r="O7" s="63" t="s">
        <v>44</v>
      </c>
      <c r="P7" s="64" t="s">
        <v>103</v>
      </c>
    </row>
    <row r="8" ht="18.75" customHeight="1">
      <c r="A8" s="98"/>
      <c r="B8" s="53"/>
      <c r="C8" s="53"/>
      <c r="D8" s="54"/>
      <c r="E8" s="99"/>
      <c r="F8" s="99"/>
      <c r="G8" s="99"/>
      <c r="H8" s="99"/>
      <c r="I8" s="99"/>
      <c r="J8" s="99"/>
      <c r="K8" s="100"/>
      <c r="L8" s="42"/>
      <c r="M8" s="71">
        <v>46134.0</v>
      </c>
      <c r="N8" s="72">
        <v>5000.0</v>
      </c>
      <c r="O8" s="73" t="s">
        <v>44</v>
      </c>
      <c r="P8" s="74" t="s">
        <v>104</v>
      </c>
    </row>
    <row r="9" ht="18.75" customHeight="1">
      <c r="A9" s="101"/>
      <c r="B9" s="102"/>
      <c r="C9" s="102"/>
      <c r="D9" s="94"/>
      <c r="E9" s="103"/>
      <c r="F9" s="103"/>
      <c r="G9" s="103"/>
      <c r="H9" s="103"/>
      <c r="I9" s="103"/>
      <c r="J9" s="103"/>
      <c r="K9" s="104"/>
      <c r="L9" s="42"/>
      <c r="M9" s="61">
        <v>46164.0</v>
      </c>
      <c r="N9" s="62">
        <v>50000.0</v>
      </c>
      <c r="O9" s="63" t="s">
        <v>49</v>
      </c>
      <c r="P9" s="94"/>
    </row>
    <row r="10" ht="18.75" customHeight="1">
      <c r="A10" s="98"/>
      <c r="B10" s="123"/>
      <c r="C10" s="53"/>
      <c r="D10" s="54"/>
      <c r="E10" s="99"/>
      <c r="F10" s="99"/>
      <c r="G10" s="99"/>
      <c r="H10" s="99"/>
      <c r="I10" s="99"/>
      <c r="J10" s="99"/>
      <c r="K10" s="100"/>
      <c r="L10" s="42"/>
      <c r="M10" s="71">
        <v>46195.0</v>
      </c>
      <c r="N10" s="72">
        <v>50000.0</v>
      </c>
      <c r="O10" s="73" t="s">
        <v>44</v>
      </c>
      <c r="P10" s="54"/>
    </row>
    <row r="11" ht="18.75" customHeight="1">
      <c r="A11" s="101"/>
      <c r="B11" s="102"/>
      <c r="C11" s="102"/>
      <c r="D11" s="94"/>
      <c r="E11" s="103"/>
      <c r="F11" s="103"/>
      <c r="G11" s="103"/>
      <c r="H11" s="103"/>
      <c r="I11" s="103"/>
      <c r="J11" s="103"/>
      <c r="K11" s="104"/>
      <c r="L11" s="42"/>
      <c r="M11" s="61">
        <v>46225.0</v>
      </c>
      <c r="N11" s="62">
        <v>1000.0</v>
      </c>
      <c r="O11" s="63" t="s">
        <v>44</v>
      </c>
      <c r="P11" s="94"/>
    </row>
    <row r="12" ht="18.75" customHeight="1">
      <c r="A12" s="98"/>
      <c r="B12" s="124"/>
      <c r="C12" s="124"/>
      <c r="D12" s="125"/>
      <c r="E12" s="99"/>
      <c r="F12" s="99"/>
      <c r="G12" s="99"/>
      <c r="H12" s="99"/>
      <c r="I12" s="99"/>
      <c r="J12" s="99"/>
      <c r="K12" s="100"/>
      <c r="L12" s="42"/>
      <c r="M12" s="71">
        <v>46135.0</v>
      </c>
      <c r="N12" s="72">
        <v>2.0</v>
      </c>
      <c r="O12" s="126" t="s">
        <v>65</v>
      </c>
      <c r="P12" s="127"/>
    </row>
    <row r="13" ht="21.0" customHeight="1">
      <c r="A13" s="120"/>
      <c r="B13" s="121"/>
      <c r="E13" s="121"/>
      <c r="G13" s="121"/>
      <c r="H13" s="121"/>
      <c r="K13" s="121"/>
      <c r="L13" s="42"/>
      <c r="M13" s="120"/>
      <c r="N13" s="121"/>
    </row>
    <row r="14" ht="21.0" customHeight="1">
      <c r="A14" s="84" t="s">
        <v>55</v>
      </c>
      <c r="B14" s="85">
        <f>IFERROR(COUNTIF(K6,"&gt;0"),0)</f>
        <v>1</v>
      </c>
      <c r="C14" s="86"/>
      <c r="D14" s="86"/>
      <c r="E14" s="85">
        <f>IFERROR(SUM(E6),0)</f>
        <v>95</v>
      </c>
      <c r="F14" s="86"/>
      <c r="G14" s="85">
        <f t="shared" ref="G14:H14" si="1">IFERROR(SUM(G6),0)</f>
        <v>79325</v>
      </c>
      <c r="H14" s="85">
        <f t="shared" si="1"/>
        <v>1200</v>
      </c>
      <c r="I14" s="86"/>
      <c r="J14" s="86"/>
      <c r="K14" s="85">
        <f>IFERROR(SUM(K6),0)</f>
        <v>80525</v>
      </c>
      <c r="L14" s="42"/>
      <c r="M14" s="87" t="s">
        <v>56</v>
      </c>
      <c r="N14" s="85">
        <f>IFERROR(SUM(N7:N12),0)</f>
        <v>116002</v>
      </c>
      <c r="O14" s="88"/>
      <c r="P14" s="89"/>
    </row>
    <row r="15" ht="30.0" customHeight="1">
      <c r="A15" s="120"/>
      <c r="B15" s="120"/>
      <c r="C15" s="120"/>
      <c r="D15" s="120"/>
      <c r="E15" s="120"/>
      <c r="F15" s="120"/>
      <c r="G15" s="120"/>
      <c r="H15" s="120"/>
      <c r="I15" s="120"/>
      <c r="J15" s="120"/>
      <c r="K15" s="120"/>
      <c r="L15" s="42"/>
      <c r="M15" s="122"/>
      <c r="N15" s="122"/>
      <c r="O15" s="122"/>
      <c r="P15" s="122"/>
    </row>
    <row r="16" ht="30.0" customHeight="1">
      <c r="A16" s="90" t="s">
        <v>57</v>
      </c>
      <c r="B16" s="36"/>
      <c r="C16" s="36"/>
      <c r="D16" s="36"/>
      <c r="E16" s="36"/>
      <c r="F16" s="36"/>
      <c r="G16" s="36"/>
      <c r="H16" s="36"/>
      <c r="I16" s="36"/>
      <c r="J16" s="36"/>
      <c r="K16" s="91"/>
      <c r="L16" s="42"/>
      <c r="M16" s="92">
        <f>N6+K14-N14</f>
        <v>4523</v>
      </c>
      <c r="N16" s="36"/>
      <c r="O16" s="36"/>
      <c r="P16" s="91"/>
    </row>
    <row r="17">
      <c r="L17" s="42"/>
    </row>
    <row r="18">
      <c r="L18" s="42"/>
    </row>
    <row r="19">
      <c r="L19" s="42"/>
    </row>
    <row r="20">
      <c r="L20" s="42"/>
    </row>
    <row r="21">
      <c r="L21" s="42"/>
    </row>
    <row r="22">
      <c r="L22" s="42"/>
    </row>
    <row r="23">
      <c r="L23" s="42"/>
    </row>
    <row r="24">
      <c r="L24" s="42"/>
    </row>
    <row r="25">
      <c r="L25" s="42"/>
    </row>
    <row r="26">
      <c r="L26" s="42"/>
    </row>
    <row r="27">
      <c r="L27" s="42"/>
    </row>
    <row r="28">
      <c r="L28" s="42"/>
    </row>
    <row r="29">
      <c r="L29" s="42"/>
    </row>
    <row r="30">
      <c r="L30" s="42"/>
    </row>
    <row r="31">
      <c r="L31" s="42"/>
    </row>
    <row r="32">
      <c r="L32" s="42"/>
    </row>
    <row r="33">
      <c r="L33" s="42"/>
    </row>
    <row r="34">
      <c r="L34" s="42"/>
    </row>
    <row r="35">
      <c r="L35" s="42"/>
    </row>
    <row r="36">
      <c r="L36" s="42"/>
    </row>
    <row r="37">
      <c r="L37" s="42"/>
    </row>
    <row r="38">
      <c r="L38" s="42"/>
    </row>
    <row r="39">
      <c r="L39" s="42"/>
    </row>
    <row r="40">
      <c r="L40" s="42"/>
    </row>
    <row r="41">
      <c r="L41" s="42"/>
    </row>
    <row r="42">
      <c r="L42" s="42"/>
    </row>
    <row r="43">
      <c r="L43" s="42"/>
    </row>
    <row r="44">
      <c r="L44" s="42"/>
    </row>
    <row r="45">
      <c r="L45" s="42"/>
    </row>
    <row r="46">
      <c r="L46" s="42"/>
    </row>
    <row r="47">
      <c r="L47" s="42"/>
    </row>
    <row r="48">
      <c r="L48" s="42"/>
    </row>
    <row r="49">
      <c r="L49" s="42"/>
    </row>
    <row r="50">
      <c r="L50" s="42"/>
    </row>
    <row r="51">
      <c r="L51" s="42"/>
    </row>
    <row r="52">
      <c r="L52" s="42"/>
    </row>
    <row r="53">
      <c r="L53" s="42"/>
    </row>
    <row r="54">
      <c r="L54" s="42"/>
    </row>
    <row r="55">
      <c r="L55" s="42"/>
    </row>
    <row r="56">
      <c r="L56" s="42"/>
    </row>
    <row r="57">
      <c r="L57" s="42"/>
    </row>
    <row r="58">
      <c r="L58" s="42"/>
    </row>
    <row r="59">
      <c r="L59" s="42"/>
    </row>
    <row r="60">
      <c r="L60" s="42"/>
    </row>
    <row r="61">
      <c r="L61" s="42"/>
    </row>
    <row r="62">
      <c r="L62" s="42"/>
    </row>
    <row r="63">
      <c r="L63" s="42"/>
    </row>
    <row r="64">
      <c r="L64" s="42"/>
    </row>
    <row r="65">
      <c r="L65" s="42"/>
    </row>
    <row r="66">
      <c r="L66" s="42"/>
    </row>
    <row r="67">
      <c r="L67" s="42"/>
    </row>
    <row r="68">
      <c r="L68" s="42"/>
    </row>
    <row r="69">
      <c r="L69" s="42"/>
    </row>
    <row r="70">
      <c r="L70" s="42"/>
    </row>
    <row r="71">
      <c r="L71" s="42"/>
    </row>
    <row r="72">
      <c r="L72" s="42"/>
    </row>
    <row r="73">
      <c r="L73" s="42"/>
    </row>
    <row r="74">
      <c r="L74" s="42"/>
    </row>
    <row r="75">
      <c r="L75" s="42"/>
    </row>
    <row r="76">
      <c r="L76" s="42"/>
    </row>
    <row r="77">
      <c r="L77" s="42"/>
    </row>
    <row r="78">
      <c r="L78" s="42"/>
    </row>
    <row r="79">
      <c r="L79" s="42"/>
    </row>
    <row r="80">
      <c r="L80" s="42"/>
    </row>
    <row r="81">
      <c r="L81" s="42"/>
    </row>
    <row r="82">
      <c r="L82" s="42"/>
    </row>
    <row r="83">
      <c r="L83" s="42"/>
    </row>
    <row r="84">
      <c r="L84" s="42"/>
    </row>
    <row r="85">
      <c r="L85" s="42"/>
    </row>
    <row r="86">
      <c r="L86" s="42"/>
    </row>
    <row r="87">
      <c r="L87" s="42"/>
    </row>
    <row r="88">
      <c r="L88" s="42"/>
    </row>
    <row r="89">
      <c r="L89" s="42"/>
    </row>
    <row r="90">
      <c r="L90" s="42"/>
    </row>
    <row r="91">
      <c r="L91" s="42"/>
    </row>
    <row r="92">
      <c r="L92" s="42"/>
    </row>
    <row r="93">
      <c r="L93" s="42"/>
    </row>
    <row r="94">
      <c r="L94" s="42"/>
    </row>
    <row r="95">
      <c r="L95" s="42"/>
    </row>
    <row r="96">
      <c r="L96" s="42"/>
    </row>
    <row r="97">
      <c r="L97" s="42"/>
    </row>
    <row r="98">
      <c r="L98" s="42"/>
    </row>
    <row r="99">
      <c r="L99" s="42"/>
    </row>
    <row r="100">
      <c r="L100" s="42"/>
    </row>
    <row r="101">
      <c r="L101" s="42"/>
    </row>
    <row r="102">
      <c r="L102" s="42"/>
    </row>
    <row r="103">
      <c r="L103" s="42"/>
    </row>
    <row r="104">
      <c r="L104" s="42"/>
    </row>
    <row r="105">
      <c r="L105" s="42"/>
    </row>
    <row r="106">
      <c r="L106" s="42"/>
    </row>
    <row r="107">
      <c r="L107" s="42"/>
    </row>
    <row r="108">
      <c r="L108" s="42"/>
    </row>
    <row r="109">
      <c r="L109" s="42"/>
    </row>
    <row r="110">
      <c r="L110" s="42"/>
    </row>
    <row r="111">
      <c r="L111" s="42"/>
    </row>
    <row r="112">
      <c r="L112" s="42"/>
    </row>
    <row r="113">
      <c r="L113" s="42"/>
    </row>
    <row r="114">
      <c r="L114" s="42"/>
    </row>
    <row r="115">
      <c r="L115" s="42"/>
    </row>
    <row r="116">
      <c r="L116" s="42"/>
    </row>
    <row r="117">
      <c r="L117" s="42"/>
    </row>
    <row r="118">
      <c r="L118" s="42"/>
    </row>
    <row r="119">
      <c r="L119" s="42"/>
    </row>
    <row r="120">
      <c r="L120" s="42"/>
    </row>
    <row r="121">
      <c r="L121" s="42"/>
    </row>
    <row r="122">
      <c r="L122" s="42"/>
    </row>
    <row r="123">
      <c r="L123" s="42"/>
    </row>
    <row r="124">
      <c r="L124" s="42"/>
    </row>
    <row r="125">
      <c r="L125" s="42"/>
    </row>
    <row r="126">
      <c r="L126" s="42"/>
    </row>
    <row r="127">
      <c r="L127" s="42"/>
    </row>
    <row r="128">
      <c r="L128" s="42"/>
    </row>
    <row r="129">
      <c r="L129" s="42"/>
    </row>
    <row r="130">
      <c r="L130" s="42"/>
    </row>
    <row r="131">
      <c r="L131" s="42"/>
    </row>
    <row r="132">
      <c r="L132" s="42"/>
    </row>
    <row r="133">
      <c r="L133" s="42"/>
    </row>
    <row r="134">
      <c r="L134" s="42"/>
    </row>
    <row r="135">
      <c r="L135" s="42"/>
    </row>
    <row r="136">
      <c r="L136" s="42"/>
    </row>
    <row r="137">
      <c r="L137" s="42"/>
    </row>
    <row r="138">
      <c r="L138" s="42"/>
    </row>
    <row r="139">
      <c r="L139" s="42"/>
    </row>
    <row r="140">
      <c r="L140" s="42"/>
    </row>
    <row r="141">
      <c r="L141" s="42"/>
    </row>
    <row r="142">
      <c r="L142" s="42"/>
    </row>
    <row r="143">
      <c r="L143" s="42"/>
    </row>
    <row r="144">
      <c r="L144" s="42"/>
    </row>
    <row r="145">
      <c r="L145" s="42"/>
    </row>
    <row r="146">
      <c r="L146" s="42"/>
    </row>
    <row r="147">
      <c r="L147" s="42"/>
    </row>
    <row r="148">
      <c r="L148" s="42"/>
    </row>
    <row r="149">
      <c r="L149" s="42"/>
    </row>
    <row r="150">
      <c r="L150" s="42"/>
    </row>
    <row r="151">
      <c r="L151" s="42"/>
    </row>
    <row r="152">
      <c r="L152" s="42"/>
    </row>
    <row r="153">
      <c r="L153" s="42"/>
    </row>
    <row r="154">
      <c r="L154" s="42"/>
    </row>
    <row r="155">
      <c r="L155" s="42"/>
    </row>
    <row r="156">
      <c r="L156" s="42"/>
    </row>
    <row r="157">
      <c r="L157" s="42"/>
    </row>
    <row r="158">
      <c r="L158" s="42"/>
    </row>
    <row r="159">
      <c r="L159" s="42"/>
    </row>
    <row r="160">
      <c r="L160" s="42"/>
    </row>
    <row r="161">
      <c r="L161" s="42"/>
    </row>
    <row r="162">
      <c r="L162" s="42"/>
    </row>
    <row r="163">
      <c r="L163" s="42"/>
    </row>
    <row r="164">
      <c r="L164" s="42"/>
    </row>
    <row r="165">
      <c r="L165" s="42"/>
    </row>
    <row r="166">
      <c r="L166" s="42"/>
    </row>
    <row r="167">
      <c r="L167" s="42"/>
    </row>
    <row r="168">
      <c r="L168" s="42"/>
    </row>
    <row r="169">
      <c r="L169" s="42"/>
    </row>
    <row r="170">
      <c r="L170" s="42"/>
    </row>
    <row r="171">
      <c r="L171" s="42"/>
    </row>
    <row r="172">
      <c r="L172" s="42"/>
    </row>
    <row r="173">
      <c r="L173" s="42"/>
    </row>
    <row r="174">
      <c r="L174" s="42"/>
    </row>
    <row r="175">
      <c r="L175" s="42"/>
    </row>
    <row r="176">
      <c r="L176" s="42"/>
    </row>
    <row r="177">
      <c r="L177" s="42"/>
    </row>
    <row r="178">
      <c r="L178" s="42"/>
    </row>
    <row r="179">
      <c r="L179" s="42"/>
    </row>
    <row r="180">
      <c r="L180" s="42"/>
    </row>
    <row r="181">
      <c r="L181" s="42"/>
    </row>
    <row r="182">
      <c r="L182" s="42"/>
    </row>
    <row r="183">
      <c r="L183" s="42"/>
    </row>
    <row r="184">
      <c r="L184" s="42"/>
    </row>
    <row r="185">
      <c r="L185" s="42"/>
    </row>
    <row r="186">
      <c r="L186" s="42"/>
    </row>
    <row r="187">
      <c r="L187" s="42"/>
    </row>
    <row r="188">
      <c r="L188" s="42"/>
    </row>
    <row r="189">
      <c r="L189" s="42"/>
    </row>
    <row r="190">
      <c r="L190" s="42"/>
    </row>
    <row r="191">
      <c r="L191" s="42"/>
    </row>
    <row r="192">
      <c r="L192" s="42"/>
    </row>
    <row r="193">
      <c r="L193" s="42"/>
    </row>
    <row r="194">
      <c r="L194" s="42"/>
    </row>
    <row r="195">
      <c r="L195" s="42"/>
    </row>
    <row r="196">
      <c r="L196" s="42"/>
    </row>
    <row r="197">
      <c r="L197" s="42"/>
    </row>
    <row r="198">
      <c r="L198" s="42"/>
    </row>
    <row r="199">
      <c r="L199" s="42"/>
    </row>
    <row r="200">
      <c r="L200" s="42"/>
    </row>
    <row r="201">
      <c r="L201" s="42"/>
    </row>
    <row r="202">
      <c r="L202" s="42"/>
    </row>
    <row r="203">
      <c r="L203" s="42"/>
    </row>
    <row r="204">
      <c r="L204" s="42"/>
    </row>
    <row r="205">
      <c r="L205" s="42"/>
    </row>
    <row r="206">
      <c r="L206" s="42"/>
    </row>
    <row r="207">
      <c r="L207" s="42"/>
    </row>
    <row r="208">
      <c r="L208" s="42"/>
    </row>
    <row r="209">
      <c r="L209" s="42"/>
    </row>
    <row r="210">
      <c r="L210" s="42"/>
    </row>
    <row r="211">
      <c r="L211" s="42"/>
    </row>
    <row r="212">
      <c r="L212" s="42"/>
    </row>
    <row r="213">
      <c r="L213" s="42"/>
    </row>
    <row r="214">
      <c r="L214" s="42"/>
    </row>
    <row r="215">
      <c r="L215" s="42"/>
    </row>
    <row r="216">
      <c r="L216" s="42"/>
    </row>
    <row r="217">
      <c r="L217" s="42"/>
    </row>
    <row r="218">
      <c r="L218" s="42"/>
    </row>
    <row r="219">
      <c r="L219" s="42"/>
    </row>
    <row r="220">
      <c r="L220" s="42"/>
    </row>
    <row r="221">
      <c r="L221" s="42"/>
    </row>
    <row r="222">
      <c r="L222" s="42"/>
    </row>
    <row r="223">
      <c r="L223" s="42"/>
    </row>
    <row r="224">
      <c r="L224" s="42"/>
    </row>
    <row r="225">
      <c r="L225" s="42"/>
    </row>
    <row r="226">
      <c r="L226" s="42"/>
    </row>
    <row r="227">
      <c r="L227" s="42"/>
    </row>
    <row r="228">
      <c r="L228" s="42"/>
    </row>
    <row r="229">
      <c r="L229" s="42"/>
    </row>
    <row r="230">
      <c r="L230" s="42"/>
    </row>
    <row r="231">
      <c r="L231" s="42"/>
    </row>
    <row r="232">
      <c r="L232" s="42"/>
    </row>
    <row r="233">
      <c r="L233" s="42"/>
    </row>
    <row r="234">
      <c r="L234" s="42"/>
    </row>
    <row r="235">
      <c r="L235" s="42"/>
    </row>
    <row r="236">
      <c r="L236" s="42"/>
    </row>
    <row r="237">
      <c r="L237" s="42"/>
    </row>
    <row r="238">
      <c r="L238" s="42"/>
    </row>
    <row r="239">
      <c r="L239" s="42"/>
    </row>
    <row r="240">
      <c r="L240" s="42"/>
    </row>
    <row r="241">
      <c r="L241" s="42"/>
    </row>
    <row r="242">
      <c r="L242" s="42"/>
    </row>
    <row r="243">
      <c r="L243" s="42"/>
    </row>
    <row r="244">
      <c r="L244" s="42"/>
    </row>
    <row r="245">
      <c r="L245" s="42"/>
    </row>
    <row r="246">
      <c r="L246" s="42"/>
    </row>
    <row r="247">
      <c r="L247" s="42"/>
    </row>
    <row r="248">
      <c r="L248" s="42"/>
    </row>
    <row r="249">
      <c r="L249" s="42"/>
    </row>
    <row r="250">
      <c r="L250" s="42"/>
    </row>
    <row r="251">
      <c r="L251" s="42"/>
    </row>
    <row r="252">
      <c r="L252" s="42"/>
    </row>
    <row r="253">
      <c r="L253" s="42"/>
    </row>
    <row r="254">
      <c r="L254" s="42"/>
    </row>
    <row r="255">
      <c r="L255" s="42"/>
    </row>
    <row r="256">
      <c r="L256" s="42"/>
    </row>
    <row r="257">
      <c r="L257" s="42"/>
    </row>
    <row r="258">
      <c r="L258" s="42"/>
    </row>
    <row r="259">
      <c r="L259" s="42"/>
    </row>
    <row r="260">
      <c r="L260" s="42"/>
    </row>
    <row r="261">
      <c r="L261" s="42"/>
    </row>
    <row r="262">
      <c r="L262" s="42"/>
    </row>
    <row r="263">
      <c r="L263" s="42"/>
    </row>
    <row r="264">
      <c r="L264" s="42"/>
    </row>
    <row r="265">
      <c r="L265" s="42"/>
    </row>
    <row r="266">
      <c r="L266" s="42"/>
    </row>
    <row r="267">
      <c r="L267" s="42"/>
    </row>
    <row r="268">
      <c r="L268" s="42"/>
    </row>
    <row r="269">
      <c r="L269" s="42"/>
    </row>
    <row r="270">
      <c r="L270" s="42"/>
    </row>
    <row r="271">
      <c r="L271" s="42"/>
    </row>
    <row r="272">
      <c r="L272" s="42"/>
    </row>
    <row r="273">
      <c r="L273" s="42"/>
    </row>
    <row r="274">
      <c r="L274" s="42"/>
    </row>
    <row r="275">
      <c r="L275" s="42"/>
    </row>
    <row r="276">
      <c r="L276" s="42"/>
    </row>
    <row r="277">
      <c r="L277" s="42"/>
    </row>
    <row r="278">
      <c r="L278" s="42"/>
    </row>
    <row r="279">
      <c r="L279" s="42"/>
    </row>
    <row r="280">
      <c r="L280" s="42"/>
    </row>
    <row r="281">
      <c r="L281" s="42"/>
    </row>
    <row r="282">
      <c r="L282" s="42"/>
    </row>
    <row r="283">
      <c r="L283" s="42"/>
    </row>
    <row r="284">
      <c r="L284" s="42"/>
    </row>
    <row r="285">
      <c r="L285" s="42"/>
    </row>
    <row r="286">
      <c r="L286" s="42"/>
    </row>
    <row r="287">
      <c r="L287" s="42"/>
    </row>
    <row r="288">
      <c r="L288" s="42"/>
    </row>
    <row r="289">
      <c r="L289" s="42"/>
    </row>
    <row r="290">
      <c r="L290" s="42"/>
    </row>
    <row r="291">
      <c r="L291" s="42"/>
    </row>
    <row r="292">
      <c r="L292" s="42"/>
    </row>
    <row r="293">
      <c r="L293" s="42"/>
    </row>
    <row r="294">
      <c r="L294" s="42"/>
    </row>
    <row r="295">
      <c r="L295" s="42"/>
    </row>
    <row r="296">
      <c r="L296" s="42"/>
    </row>
    <row r="297">
      <c r="L297" s="42"/>
    </row>
    <row r="298">
      <c r="L298" s="42"/>
    </row>
    <row r="299">
      <c r="L299" s="42"/>
    </row>
    <row r="300">
      <c r="L300" s="42"/>
    </row>
  </sheetData>
  <mergeCells count="5">
    <mergeCell ref="A2:O2"/>
    <mergeCell ref="A4:K4"/>
    <mergeCell ref="M4:P4"/>
    <mergeCell ref="A16:K16"/>
    <mergeCell ref="M16:P16"/>
  </mergeCells>
  <conditionalFormatting sqref="M16:P16">
    <cfRule type="cellIs" dxfId="0" priority="1" stopIfTrue="1" operator="greaterThan">
      <formula>0</formula>
    </cfRule>
  </conditionalFormatting>
  <conditionalFormatting sqref="M16:P16">
    <cfRule type="cellIs" dxfId="1" priority="2" stopIfTrue="1" operator="lessThanOrEqual">
      <formula>0</formula>
    </cfRule>
  </conditionalFormatting>
  <hyperlinks>
    <hyperlink display="◀ Master" location="Master!A1" ref="P2"/>
  </hyperlin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E9E9E"/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105</v>
      </c>
      <c r="B1" s="25" t="s">
        <v>106</v>
      </c>
      <c r="C1" s="25" t="s">
        <v>107</v>
      </c>
      <c r="D1" s="25" t="s">
        <v>10</v>
      </c>
      <c r="E1" s="25" t="s">
        <v>108</v>
      </c>
    </row>
    <row r="2">
      <c r="A2" s="128">
        <v>46135.432233796295</v>
      </c>
      <c r="B2" s="129">
        <v>0.0</v>
      </c>
      <c r="C2" s="129">
        <v>0.0</v>
      </c>
      <c r="D2" s="25" t="s">
        <v>109</v>
      </c>
    </row>
    <row r="3">
      <c r="A3" s="128">
        <v>46135.43256944444</v>
      </c>
      <c r="B3" s="129">
        <v>0.0</v>
      </c>
      <c r="C3" s="129">
        <v>0.0</v>
      </c>
      <c r="D3" s="25" t="s">
        <v>109</v>
      </c>
    </row>
    <row r="4">
      <c r="A4" s="128">
        <v>46135.44087962963</v>
      </c>
      <c r="B4" s="129">
        <v>1.0</v>
      </c>
      <c r="C4" s="129">
        <v>1.0</v>
      </c>
      <c r="D4" s="25" t="s">
        <v>110</v>
      </c>
    </row>
    <row r="5">
      <c r="A5" s="128">
        <v>46135.44737268519</v>
      </c>
      <c r="B5" s="129">
        <v>21.0</v>
      </c>
      <c r="C5" s="129">
        <v>22.0</v>
      </c>
      <c r="D5" s="25" t="s">
        <v>109</v>
      </c>
    </row>
    <row r="6">
      <c r="A6" s="128">
        <v>46135.45138888889</v>
      </c>
      <c r="B6" s="129">
        <v>22.0</v>
      </c>
      <c r="C6" s="129">
        <v>23.0</v>
      </c>
      <c r="D6" s="25" t="s">
        <v>110</v>
      </c>
    </row>
    <row r="7">
      <c r="A7" s="128">
        <v>46135.457719907405</v>
      </c>
      <c r="B7" s="129">
        <v>8.0</v>
      </c>
      <c r="C7" s="129">
        <v>0.0</v>
      </c>
      <c r="D7" s="25" t="s">
        <v>109</v>
      </c>
    </row>
    <row r="8">
      <c r="A8" s="128">
        <v>46135.52915509259</v>
      </c>
      <c r="B8" s="129">
        <v>30.0</v>
      </c>
      <c r="C8" s="129">
        <v>23.0</v>
      </c>
      <c r="D8" s="25" t="s">
        <v>110</v>
      </c>
    </row>
    <row r="9">
      <c r="A9" s="128">
        <v>46135.53199074074</v>
      </c>
      <c r="B9" s="129">
        <v>30.0</v>
      </c>
      <c r="C9" s="129">
        <v>23.0</v>
      </c>
      <c r="D9" s="25" t="s">
        <v>110</v>
      </c>
    </row>
    <row r="10">
      <c r="A10" s="128">
        <v>46135.53872685185</v>
      </c>
      <c r="B10" s="129">
        <v>30.0</v>
      </c>
      <c r="C10" s="129">
        <v>23.0</v>
      </c>
      <c r="D10" s="25" t="s">
        <v>110</v>
      </c>
    </row>
    <row r="11">
      <c r="A11" s="130">
        <v>46135.55716435185</v>
      </c>
      <c r="B11" s="129">
        <v>30.0</v>
      </c>
      <c r="C11" s="129">
        <v>23.0</v>
      </c>
      <c r="D11" s="25" t="s">
        <v>110</v>
      </c>
    </row>
    <row r="12">
      <c r="A12" s="130">
        <v>46135.56175925926</v>
      </c>
      <c r="B12" s="129">
        <v>30.0</v>
      </c>
      <c r="C12" s="129">
        <v>23.0</v>
      </c>
      <c r="D12" s="25" t="s">
        <v>110</v>
      </c>
    </row>
    <row r="13">
      <c r="A13" s="130">
        <v>46135.57640046296</v>
      </c>
      <c r="B13" s="129">
        <v>30.0</v>
      </c>
      <c r="C13" s="129">
        <v>23.0</v>
      </c>
      <c r="D13" s="25" t="s">
        <v>110</v>
      </c>
    </row>
    <row r="14">
      <c r="A14" s="130">
        <v>46135.58594907408</v>
      </c>
      <c r="B14" s="129">
        <v>30.0</v>
      </c>
      <c r="C14" s="129">
        <v>23.0</v>
      </c>
      <c r="D14" s="25" t="s">
        <v>110</v>
      </c>
    </row>
    <row r="15">
      <c r="A15" s="130">
        <v>46135.60701388889</v>
      </c>
      <c r="B15" s="129">
        <v>30.0</v>
      </c>
      <c r="C15" s="129">
        <v>23.0</v>
      </c>
      <c r="D15" s="25" t="s">
        <v>110</v>
      </c>
    </row>
    <row r="16">
      <c r="A16" s="130">
        <v>46135.61479166667</v>
      </c>
      <c r="B16" s="129">
        <v>30.0</v>
      </c>
      <c r="C16" s="129">
        <v>23.0</v>
      </c>
      <c r="D16" s="25" t="s">
        <v>110</v>
      </c>
    </row>
    <row r="17">
      <c r="A17" s="130">
        <v>46135.624918981484</v>
      </c>
      <c r="B17" s="129">
        <v>30.0</v>
      </c>
      <c r="C17" s="129">
        <v>23.0</v>
      </c>
      <c r="D17" s="25" t="s">
        <v>110</v>
      </c>
    </row>
    <row r="18">
      <c r="A18" s="130">
        <v>46135.63155092593</v>
      </c>
      <c r="B18" s="129">
        <v>30.0</v>
      </c>
      <c r="C18" s="129">
        <v>23.0</v>
      </c>
      <c r="D18" s="25" t="s">
        <v>110</v>
      </c>
    </row>
    <row r="19">
      <c r="A19" s="130">
        <v>46135.636724537035</v>
      </c>
      <c r="B19" s="129">
        <v>30.0</v>
      </c>
      <c r="C19" s="129">
        <v>23.0</v>
      </c>
      <c r="D19" s="25" t="s">
        <v>110</v>
      </c>
    </row>
    <row r="20">
      <c r="A20" s="130">
        <v>46135.64097222222</v>
      </c>
      <c r="B20" s="129">
        <v>30.0</v>
      </c>
      <c r="C20" s="129">
        <v>23.0</v>
      </c>
      <c r="D20" s="25" t="s">
        <v>110</v>
      </c>
    </row>
    <row r="21">
      <c r="A21" s="130">
        <v>46135.65715277778</v>
      </c>
      <c r="B21" s="129">
        <v>30.0</v>
      </c>
      <c r="C21" s="129">
        <v>23.0</v>
      </c>
      <c r="D21" s="25" t="s">
        <v>110</v>
      </c>
    </row>
    <row r="22">
      <c r="A22" s="130">
        <v>46135.66305555555</v>
      </c>
      <c r="B22" s="129">
        <v>30.0</v>
      </c>
      <c r="C22" s="129">
        <v>23.0</v>
      </c>
      <c r="D22" s="25" t="s">
        <v>110</v>
      </c>
    </row>
    <row r="23">
      <c r="A23" s="130">
        <v>46135.664618055554</v>
      </c>
      <c r="B23" s="129">
        <v>0.0</v>
      </c>
      <c r="C23" s="129">
        <v>3.0</v>
      </c>
      <c r="D23" s="25" t="s">
        <v>109</v>
      </c>
    </row>
    <row r="24">
      <c r="A24" s="130">
        <v>46136.70659722222</v>
      </c>
      <c r="B24" s="129">
        <v>7.0</v>
      </c>
      <c r="C24" s="129">
        <v>3.0</v>
      </c>
      <c r="D24" s="25" t="s">
        <v>109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E9E9E"/>
    <outlinePr summaryBelow="0" summaryRight="0"/>
  </sheetPr>
  <sheetViews>
    <sheetView workbookViewId="0"/>
  </sheetViews>
  <sheetFormatPr customHeight="1" defaultColWidth="12.63" defaultRowHeight="15.75"/>
  <cols>
    <col customWidth="1" min="3" max="3" width="14.5"/>
  </cols>
  <sheetData>
    <row r="1">
      <c r="A1" s="131" t="s">
        <v>111</v>
      </c>
      <c r="B1" s="131" t="s">
        <v>112</v>
      </c>
      <c r="C1" s="131" t="s">
        <v>113</v>
      </c>
    </row>
    <row r="2">
      <c r="A2" s="131" t="s">
        <v>114</v>
      </c>
      <c r="B2" s="131">
        <v>1.0</v>
      </c>
      <c r="C2" s="132">
        <v>46135.432534722226</v>
      </c>
    </row>
    <row r="3">
      <c r="A3" s="131" t="s">
        <v>115</v>
      </c>
      <c r="B3" s="131">
        <v>1.0</v>
      </c>
      <c r="C3" s="132">
        <v>46135.432534722226</v>
      </c>
    </row>
    <row r="4">
      <c r="A4" s="131" t="s">
        <v>116</v>
      </c>
      <c r="B4" s="132">
        <v>46135.432534722226</v>
      </c>
      <c r="C4" s="132">
        <v>46135.432534722226</v>
      </c>
    </row>
    <row r="5">
      <c r="A5" s="25" t="s">
        <v>117</v>
      </c>
      <c r="B5" s="129">
        <v>37.0</v>
      </c>
      <c r="C5" s="128">
        <v>46136.70659722222</v>
      </c>
    </row>
    <row r="6">
      <c r="A6" s="25" t="s">
        <v>118</v>
      </c>
      <c r="B6" s="129">
        <v>29.0</v>
      </c>
      <c r="C6" s="128">
        <v>46136.70659722222</v>
      </c>
    </row>
    <row r="7">
      <c r="A7" s="25" t="s">
        <v>119</v>
      </c>
      <c r="B7" s="128">
        <v>46136.70659722222</v>
      </c>
      <c r="C7" s="128">
        <v>46136.70659722222</v>
      </c>
    </row>
  </sheetData>
  <drawing r:id="rId1"/>
</worksheet>
</file>